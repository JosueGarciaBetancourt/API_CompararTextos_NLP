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7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Ejecutivo" sheetId="1" state="visible" r:id="rId1"/>
    <sheet name="Métricas Similitud" sheetId="2" state="visible" r:id="rId2"/>
    <sheet name="Distribución Similitud" sheetId="3" state="visible" r:id="rId3"/>
    <sheet name="Comparación Modelo vs Golden" sheetId="4" state="visible" r:id="rId4"/>
    <sheet name="Matriz de Confusión" sheetId="5" state="visible" r:id="rId5"/>
    <sheet name="Reporte Clasificación" sheetId="6" state="visible" r:id="rId6"/>
    <sheet name="Análisis de Errores" sheetId="7" state="visible" r:id="rId7"/>
    <sheet name="Resumen Errores" sheetId="8" state="visible" r:id="rId8"/>
    <sheet name="Componentes con Error" sheetId="9" state="visible" r:id="rId9"/>
    <sheet name="Detalle por Archivo" sheetId="10" state="visible" r:id="rId10"/>
    <sheet name="Comparaciones Individual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FFFFFF"/>
      <sz val="12"/>
    </font>
  </fonts>
  <fills count="4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2" fontId="0" fillId="0" borderId="1" pivotButton="0" quotePrefix="0" xfId="0"/>
    <xf numFmtId="2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Métricas Clave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Ejecutivo'!B2</f>
            </strRef>
          </tx>
          <spPr>
            <a:ln>
              <a:prstDash val="solid"/>
            </a:ln>
          </spPr>
          <cat>
            <numRef>
              <f>'Resumen Ejecutivo'!$A$3:$A$9</f>
            </numRef>
          </cat>
          <val>
            <numRef>
              <f>'Resumen Ejecutivo'!$B$3:$B$9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Métricas de Similitud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'Métricas Similitud'!B2</f>
            </strRef>
          </tx>
          <spPr>
            <a:ln>
              <a:prstDash val="solid"/>
            </a:ln>
          </spPr>
          <cat>
            <numRef>
              <f>'Métricas Similitud'!$A$3:$A$15</f>
            </numRef>
          </cat>
          <val>
            <numRef>
              <f>'Métricas Similitud'!$B$3:$B$15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Distribución de Similitudes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'Distribución Similitud'!B2</f>
            </strRef>
          </tx>
          <spPr>
            <a:ln>
              <a:prstDash val="solid"/>
            </a:ln>
          </spPr>
          <cat>
            <numRef>
              <f>'Distribución Similitud'!$A$3:$A$5</f>
            </numRef>
          </cat>
          <val>
            <numRef>
              <f>'Distribución Similitud'!$B$3:$B$5</f>
            </numRef>
          </val>
        </ser>
        <ser>
          <idx val="1"/>
          <order val="1"/>
          <tx>
            <strRef>
              <f>'Distribución Similitud'!C2</f>
            </strRef>
          </tx>
          <spPr>
            <a:ln>
              <a:prstDash val="solid"/>
            </a:ln>
          </spPr>
          <cat>
            <numRef>
              <f>'Distribución Similitud'!$A$3:$A$5</f>
            </numRef>
          </cat>
          <val>
            <numRef>
              <f>'Distribución Similitud'!$C$3:$C$5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Porcentaje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Distribución de Tipos de Error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Errores'!B2</f>
            </strRef>
          </tx>
          <spPr>
            <a:ln>
              <a:prstDash val="solid"/>
            </a:ln>
          </spPr>
          <cat>
            <numRef>
              <f>'Resumen Errores'!$A$3:$A$5</f>
            </numRef>
          </cat>
          <val>
            <numRef>
              <f>'Resumen Errores'!$B$3:$B$5</f>
            </numRef>
          </val>
        </ser>
        <ser>
          <idx val="1"/>
          <order val="1"/>
          <tx>
            <strRef>
              <f>'Resumen Errores'!C2</f>
            </strRef>
          </tx>
          <spPr>
            <a:ln>
              <a:prstDash val="solid"/>
            </a:ln>
          </spPr>
          <cat>
            <numRef>
              <f>'Resumen Errores'!$A$3:$A$5</f>
            </numRef>
          </cat>
          <val>
            <numRef>
              <f>'Resumen Errores'!$C$3:$C$5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Porcentaje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Similitud por Archivo</a:t>
            </a:r>
          </a:p>
        </rich>
      </tx>
    </title>
    <plotArea>
      <lineChart>
        <grouping val="standard"/>
        <ser>
          <idx val="0"/>
          <order val="0"/>
          <tx>
            <strRef>
              <f>'Detalle por Archivo'!B2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'Detalle por Archivo'!$A$3:$A$6</f>
            </numRef>
          </cat>
          <val>
            <numRef>
              <f>'Detalle por Archivo'!$B$3:$B$6</f>
            </numRef>
          </val>
        </ser>
        <ser>
          <idx val="1"/>
          <order val="1"/>
          <tx>
            <strRef>
              <f>'Detalle por Archivo'!C2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'Detalle por Archivo'!$A$3:$A$6</f>
            </numRef>
          </cat>
          <val>
            <numRef>
              <f>'Detalle por Archivo'!$C$3:$C$6</f>
            </numRef>
          </val>
        </ser>
        <ser>
          <idx val="2"/>
          <order val="2"/>
          <tx>
            <strRef>
              <f>'Detalle por Archivo'!D2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'Detalle por Archivo'!$A$3:$A$6</f>
            </numRef>
          </cat>
          <val>
            <numRef>
              <f>'Detalle por Archivo'!$D$3:$D$6</f>
            </numRef>
          </val>
        </ser>
        <ser>
          <idx val="3"/>
          <order val="3"/>
          <tx>
            <strRef>
              <f>'Detalle por Archivo'!E2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'Detalle por Archivo'!$A$3:$A$6</f>
            </numRef>
          </cat>
          <val>
            <numRef>
              <f>'Detalle por Archivo'!$E$3:$E$6</f>
            </numRef>
          </val>
        </ser>
        <ser>
          <idx val="4"/>
          <order val="4"/>
          <tx>
            <strRef>
              <f>'Detalle por Archivo'!F2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'Detalle por Archivo'!$A$3:$A$6</f>
            </numRef>
          </cat>
          <val>
            <numRef>
              <f>'Detalle por Archivo'!$F$3:$F$6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Similitud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9525000" cy="9525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9</row>
      <rowOff>0</rowOff>
    </from>
    <ext cx="7620000" cy="5715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8.4" customWidth="1" min="1" max="1"/>
  </cols>
  <sheetData>
    <row r="1">
      <c r="A1" s="1" t="inlineStr">
        <is>
          <t>Resumen Ejecutivo</t>
        </is>
      </c>
    </row>
    <row r="2">
      <c r="A2" s="2" t="inlineStr">
        <is>
          <t>Métrica</t>
        </is>
      </c>
      <c r="B2" s="2" t="inlineStr">
        <is>
          <t>Valor</t>
        </is>
      </c>
    </row>
    <row r="3">
      <c r="A3" s="3" t="inlineStr">
        <is>
          <t>Total Archivos Evaluados</t>
        </is>
      </c>
      <c r="B3" s="4" t="n">
        <v>4</v>
      </c>
    </row>
    <row r="4">
      <c r="A4" s="3" t="inlineStr">
        <is>
          <t>Total Comparaciones</t>
        </is>
      </c>
      <c r="B4" s="4" t="n">
        <v>4</v>
      </c>
    </row>
    <row r="5">
      <c r="A5" s="3" t="inlineStr">
        <is>
          <t>Tasa Acierto Global</t>
        </is>
      </c>
      <c r="B5" s="3" t="inlineStr">
        <is>
          <t>25.00%</t>
        </is>
      </c>
    </row>
    <row r="6">
      <c r="A6" s="3" t="inlineStr">
        <is>
          <t>MAE (Error Absoluto Medio)</t>
        </is>
      </c>
      <c r="B6" s="3" t="inlineStr">
        <is>
          <t>0.03</t>
        </is>
      </c>
    </row>
    <row r="7">
      <c r="A7" s="3" t="inlineStr">
        <is>
          <t>RMSE (Error Cuadrático Medio)</t>
        </is>
      </c>
      <c r="B7" s="3" t="inlineStr">
        <is>
          <t>0.04</t>
        </is>
      </c>
    </row>
    <row r="8">
      <c r="A8" s="3" t="inlineStr">
        <is>
          <t>R² (Coeficiente Determinación)</t>
        </is>
      </c>
      <c r="B8" s="3" t="inlineStr">
        <is>
          <t>-2.03</t>
        </is>
      </c>
    </row>
    <row r="9">
      <c r="A9" s="3" t="inlineStr">
        <is>
          <t>Tiempo Respuesta Promedio (s)</t>
        </is>
      </c>
      <c r="B9" s="3" t="inlineStr">
        <is>
          <t>5.46</t>
        </is>
      </c>
    </row>
    <row r="11">
      <c r="A11" t="inlineStr">
        <is>
          <t>Resumen de las métricas clave de evaluación</t>
        </is>
      </c>
    </row>
    <row r="12">
      <c r="A12" t="inlineStr">
        <is>
          <t>Umbral de similitud: 0.75</t>
        </is>
      </c>
    </row>
    <row r="13">
      <c r="A13" t="inlineStr">
        <is>
          <t>Fecha generación: 2025-05-21 01:06:49</t>
        </is>
      </c>
    </row>
  </sheetData>
  <mergeCells count="1"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5.2" customWidth="1" min="1" max="1"/>
  </cols>
  <sheetData>
    <row r="1">
      <c r="A1" s="1" t="inlineStr">
        <is>
          <t>Métricas Similitud</t>
        </is>
      </c>
    </row>
    <row r="2">
      <c r="A2" s="2" t="inlineStr">
        <is>
          <t>Métrica</t>
        </is>
      </c>
      <c r="B2" s="2" t="inlineStr">
        <is>
          <t>Valor</t>
        </is>
      </c>
    </row>
    <row r="3">
      <c r="A3" s="3" t="inlineStr">
        <is>
          <t>Media</t>
        </is>
      </c>
      <c r="B3" s="4" t="n">
        <v>0.7369232466444373</v>
      </c>
    </row>
    <row r="4">
      <c r="A4" s="3" t="inlineStr">
        <is>
          <t>Mediana</t>
        </is>
      </c>
      <c r="B4" s="4" t="n">
        <v>0.7345916580408811</v>
      </c>
    </row>
    <row r="5">
      <c r="A5" s="3" t="inlineStr">
        <is>
          <t>Desviación Estándar</t>
        </is>
      </c>
      <c r="B5" s="4" t="n">
        <v>0.01601463823237749</v>
      </c>
    </row>
    <row r="6">
      <c r="A6" s="3" t="inlineStr">
        <is>
          <t>Mínimo</t>
        </is>
      </c>
      <c r="B6" s="4" t="n">
        <v>0.7183669880032539</v>
      </c>
    </row>
    <row r="7">
      <c r="A7" s="3" t="inlineStr">
        <is>
          <t>Máximo</t>
        </is>
      </c>
      <c r="B7" s="4" t="n">
        <v>0.7601426824927331</v>
      </c>
    </row>
    <row r="8">
      <c r="A8" s="3" t="inlineStr">
        <is>
          <t>MAE</t>
        </is>
      </c>
      <c r="B8" s="4" t="n">
        <v>0.03307675335556273</v>
      </c>
    </row>
    <row r="9">
      <c r="A9" s="3" t="inlineStr">
        <is>
          <t>MSE</t>
        </is>
      </c>
      <c r="B9" s="4" t="n">
        <v>0.001430475770400972</v>
      </c>
    </row>
    <row r="10">
      <c r="A10" s="3" t="inlineStr">
        <is>
          <t>RMSE</t>
        </is>
      </c>
      <c r="B10" s="4" t="n">
        <v>0.03782163098546878</v>
      </c>
    </row>
    <row r="11">
      <c r="A11" s="3" t="inlineStr">
        <is>
          <t>R²</t>
        </is>
      </c>
      <c r="B11" s="4" t="n">
        <v>-2.031471831313319</v>
      </c>
    </row>
    <row r="12">
      <c r="A12" s="3" t="inlineStr">
        <is>
          <t>Accuracy</t>
        </is>
      </c>
      <c r="B12" s="4" t="n">
        <v>0.5</v>
      </c>
    </row>
    <row r="13">
      <c r="A13" s="3" t="inlineStr">
        <is>
          <t>Precision</t>
        </is>
      </c>
      <c r="B13" s="4" t="n">
        <v>1</v>
      </c>
    </row>
    <row r="14">
      <c r="A14" s="3" t="inlineStr">
        <is>
          <t>Recall</t>
        </is>
      </c>
      <c r="B14" s="4" t="n">
        <v>0.3333333333333333</v>
      </c>
    </row>
    <row r="15">
      <c r="A15" s="3" t="inlineStr">
        <is>
          <t>F1</t>
        </is>
      </c>
      <c r="B15" s="4" t="n">
        <v>0.5</v>
      </c>
    </row>
  </sheetData>
  <mergeCells count="1"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8.8" customWidth="1" min="1" max="1"/>
  </cols>
  <sheetData>
    <row r="1">
      <c r="A1" s="1" t="inlineStr">
        <is>
          <t>Distribución Similitud</t>
        </is>
      </c>
    </row>
    <row r="2">
      <c r="A2" s="2" t="inlineStr">
        <is>
          <t>Categoría</t>
        </is>
      </c>
      <c r="B2" s="2" t="inlineStr">
        <is>
          <t>Conteo</t>
        </is>
      </c>
      <c r="C2" s="2" t="inlineStr">
        <is>
          <t>Porcentaje</t>
        </is>
      </c>
    </row>
    <row r="3">
      <c r="A3" s="3" t="inlineStr">
        <is>
          <t>Alta Similitud</t>
        </is>
      </c>
      <c r="B3" s="4" t="n">
        <v>0</v>
      </c>
      <c r="C3" s="4" t="n">
        <v>0</v>
      </c>
    </row>
    <row r="4">
      <c r="A4" s="3" t="inlineStr">
        <is>
          <t>Media Similitud</t>
        </is>
      </c>
      <c r="B4" s="4" t="n">
        <v>2</v>
      </c>
      <c r="C4" s="4" t="n">
        <v>50</v>
      </c>
    </row>
    <row r="5">
      <c r="A5" s="3" t="inlineStr">
        <is>
          <t>Baja Similitud</t>
        </is>
      </c>
      <c r="B5" s="4" t="n">
        <v>2</v>
      </c>
      <c r="C5" s="4" t="n">
        <v>50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38.4" customWidth="1" min="1" max="1"/>
  </cols>
  <sheetData>
    <row r="1">
      <c r="A1" s="1" t="inlineStr">
        <is>
          <t>Comparación Modelo vs Golden</t>
        </is>
      </c>
    </row>
    <row r="2">
      <c r="A2" s="2" t="inlineStr">
        <is>
          <t>Archivo</t>
        </is>
      </c>
      <c r="B2" s="2" t="inlineStr">
        <is>
          <t>ID Origen</t>
        </is>
      </c>
      <c r="C2" s="2" t="inlineStr">
        <is>
          <t>ID Destino</t>
        </is>
      </c>
      <c r="D2" s="2" t="inlineStr">
        <is>
          <t>Modelo Similitud</t>
        </is>
      </c>
      <c r="E2" s="2" t="inlineStr">
        <is>
          <t>Golden Similitud</t>
        </is>
      </c>
      <c r="F2" s="2" t="inlineStr">
        <is>
          <t>Diferencia Absoluta</t>
        </is>
      </c>
      <c r="G2" s="2" t="inlineStr">
        <is>
          <t>Modelo Decisión</t>
        </is>
      </c>
      <c r="H2" s="2" t="inlineStr">
        <is>
          <t>Golden Decisión</t>
        </is>
      </c>
      <c r="I2" s="2" t="inlineStr">
        <is>
          <t>Concordancia</t>
        </is>
      </c>
      <c r="J2" s="2" t="inlineStr">
        <is>
          <t>Tipo Error</t>
        </is>
      </c>
    </row>
    <row r="3">
      <c r="A3" s="3" t="inlineStr">
        <is>
          <t>1_redes_computadoras.json</t>
        </is>
      </c>
      <c r="B3" s="4" t="n">
        <v>1</v>
      </c>
      <c r="C3" s="4" t="n">
        <v>2</v>
      </c>
      <c r="D3" s="4" t="n">
        <v>0.7264822497963905</v>
      </c>
      <c r="E3" s="4" t="n">
        <v>0.785</v>
      </c>
      <c r="F3" s="5" t="n">
        <v>0.0585177502036095</v>
      </c>
      <c r="G3" s="3" t="inlineStr">
        <is>
          <t>No Similar</t>
        </is>
      </c>
      <c r="H3" s="3" t="inlineStr">
        <is>
          <t>Similar</t>
        </is>
      </c>
      <c r="I3" s="3" t="inlineStr">
        <is>
          <t>No</t>
        </is>
      </c>
      <c r="J3" s="3" t="inlineStr">
        <is>
          <t>Falso Negativo</t>
        </is>
      </c>
    </row>
    <row r="4">
      <c r="A4" s="3" t="inlineStr">
        <is>
          <t>3_auditoría_sistemas.json</t>
        </is>
      </c>
      <c r="B4" s="4" t="n">
        <v>5</v>
      </c>
      <c r="C4" s="4" t="n">
        <v>6</v>
      </c>
      <c r="D4" s="4" t="n">
        <v>0.7601426824927331</v>
      </c>
      <c r="E4" s="4" t="n">
        <v>0.7975000000000001</v>
      </c>
      <c r="F4" s="5" t="n">
        <v>0.03735731750726701</v>
      </c>
      <c r="G4" s="3" t="inlineStr">
        <is>
          <t>Similar</t>
        </is>
      </c>
      <c r="H4" s="3" t="inlineStr">
        <is>
          <t>Similar</t>
        </is>
      </c>
      <c r="I4" s="3" t="inlineStr">
        <is>
          <t>Sí</t>
        </is>
      </c>
      <c r="J4" s="3" t="inlineStr">
        <is>
          <t>N/A</t>
        </is>
      </c>
    </row>
    <row r="5">
      <c r="A5" s="3" t="inlineStr">
        <is>
          <t>2_base_de_datos.json</t>
        </is>
      </c>
      <c r="B5" s="4" t="n">
        <v>3</v>
      </c>
      <c r="C5" s="4" t="n">
        <v>4</v>
      </c>
      <c r="D5" s="4" t="n">
        <v>0.7427010662853718</v>
      </c>
      <c r="E5" s="4" t="n">
        <v>0.7500000000000001</v>
      </c>
      <c r="F5" s="5" t="n">
        <v>0.007298933714628308</v>
      </c>
      <c r="G5" s="3" t="inlineStr">
        <is>
          <t>No Similar</t>
        </is>
      </c>
      <c r="H5" s="3" t="inlineStr">
        <is>
          <t>Similar</t>
        </is>
      </c>
      <c r="I5" s="3" t="inlineStr">
        <is>
          <t>No</t>
        </is>
      </c>
      <c r="J5" s="3" t="inlineStr">
        <is>
          <t>Falso Negativo</t>
        </is>
      </c>
    </row>
    <row r="6">
      <c r="A6" s="3" t="inlineStr">
        <is>
          <t>4_arquitectura_computador.json</t>
        </is>
      </c>
      <c r="B6" s="4" t="n">
        <v>7</v>
      </c>
      <c r="C6" s="4" t="n">
        <v>8</v>
      </c>
      <c r="D6" s="4" t="n">
        <v>0.7183669880032539</v>
      </c>
      <c r="E6" s="4" t="n">
        <v>0.7475000000000001</v>
      </c>
      <c r="F6" s="5" t="n">
        <v>0.02913301199674612</v>
      </c>
      <c r="G6" s="3" t="inlineStr">
        <is>
          <t>No Similar</t>
        </is>
      </c>
      <c r="H6" s="3" t="inlineStr">
        <is>
          <t>Similar</t>
        </is>
      </c>
      <c r="I6" s="3" t="inlineStr">
        <is>
          <t>No</t>
        </is>
      </c>
      <c r="J6" s="3" t="inlineStr">
        <is>
          <t>Falso Negativo</t>
        </is>
      </c>
    </row>
    <row r="8">
      <c r="A8" t="inlineStr">
        <is>
          <t>Comparación detallada entre predicciones del modelo y golden standard</t>
        </is>
      </c>
    </row>
    <row r="9">
      <c r="A9" t="inlineStr">
        <is>
          <t>Umbral de similitud: 0.75</t>
        </is>
      </c>
    </row>
    <row r="10">
      <c r="A10" t="inlineStr">
        <is>
          <t>Total comparaciones: 4</t>
        </is>
      </c>
    </row>
    <row r="11">
      <c r="A11" t="inlineStr">
        <is>
          <t>Tasa de concordancia: 25.00%</t>
        </is>
      </c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.2" customWidth="1" min="1" max="1"/>
  </cols>
  <sheetData>
    <row r="1">
      <c r="A1" s="1" t="inlineStr">
        <is>
          <t>Matriz de Confusión</t>
        </is>
      </c>
    </row>
    <row r="2">
      <c r="A2" s="2" t="inlineStr">
        <is>
          <t>Pred No Similar</t>
        </is>
      </c>
      <c r="B2" s="2" t="inlineStr">
        <is>
          <t>Pred Similar</t>
        </is>
      </c>
    </row>
    <row r="3">
      <c r="A3" s="4" t="n">
        <v>0</v>
      </c>
      <c r="B3" s="4" t="n">
        <v>0</v>
      </c>
    </row>
    <row r="4">
      <c r="A4" s="4" t="n">
        <v>3</v>
      </c>
      <c r="B4" s="4" t="n">
        <v>1</v>
      </c>
    </row>
    <row r="6">
      <c r="A6" t="inlineStr">
        <is>
          <t>Comparación entre decisiones del modelo y golden standard</t>
        </is>
      </c>
    </row>
    <row r="7">
      <c r="A7" t="inlineStr">
        <is>
          <t>Umbral de similitud: 0.75</t>
        </is>
      </c>
    </row>
  </sheetData>
  <mergeCells count="1">
    <mergeCell ref="A1:B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7.6" customWidth="1" min="1" max="1"/>
  </cols>
  <sheetData>
    <row r="1">
      <c r="A1" s="1" t="inlineStr">
        <is>
          <t>Reporte Clasificación</t>
        </is>
      </c>
    </row>
    <row r="2">
      <c r="A2" s="2" t="inlineStr">
        <is>
          <t>precision</t>
        </is>
      </c>
      <c r="B2" s="2" t="inlineStr">
        <is>
          <t>recall</t>
        </is>
      </c>
      <c r="C2" s="2" t="inlineStr">
        <is>
          <t>f1-score</t>
        </is>
      </c>
      <c r="D2" s="2" t="inlineStr">
        <is>
          <t>support</t>
        </is>
      </c>
    </row>
    <row r="3">
      <c r="A3" s="4" t="n">
        <v>0</v>
      </c>
      <c r="B3" s="4" t="n">
        <v>0</v>
      </c>
      <c r="C3" s="4" t="n">
        <v>0</v>
      </c>
      <c r="D3" s="4" t="n">
        <v>0</v>
      </c>
    </row>
    <row r="4">
      <c r="A4" s="4" t="n">
        <v>1</v>
      </c>
      <c r="B4" s="4" t="n">
        <v>0.25</v>
      </c>
      <c r="C4" s="4" t="n">
        <v>0.4</v>
      </c>
      <c r="D4" s="4" t="n">
        <v>4</v>
      </c>
    </row>
    <row r="5">
      <c r="A5" s="4" t="n">
        <v>0.25</v>
      </c>
      <c r="B5" s="4" t="n">
        <v>0.25</v>
      </c>
      <c r="C5" s="4" t="n">
        <v>0.25</v>
      </c>
      <c r="D5" s="4" t="n">
        <v>0.25</v>
      </c>
    </row>
    <row r="6">
      <c r="A6" s="4" t="n">
        <v>0.5</v>
      </c>
      <c r="B6" s="4" t="n">
        <v>0.125</v>
      </c>
      <c r="C6" s="4" t="n">
        <v>0.2</v>
      </c>
      <c r="D6" s="4" t="n">
        <v>4</v>
      </c>
    </row>
    <row r="7">
      <c r="A7" s="4" t="n">
        <v>1</v>
      </c>
      <c r="B7" s="4" t="n">
        <v>0.25</v>
      </c>
      <c r="C7" s="4" t="n">
        <v>0.4</v>
      </c>
      <c r="D7" s="4" t="n">
        <v>4</v>
      </c>
    </row>
    <row r="9">
      <c r="A9" t="inlineStr">
        <is>
          <t>Métricas de clasificación del modelo vs golden standard</t>
        </is>
      </c>
    </row>
    <row r="10">
      <c r="A10" t="inlineStr">
        <is>
          <t>Precision: Verdaderos positivos / (Verdaderos positivos + Falsos positivos)</t>
        </is>
      </c>
    </row>
    <row r="11">
      <c r="A11" t="inlineStr">
        <is>
          <t>Recall: Verdaderos positivos / (Verdaderos positivos + Falsos negativos)</t>
        </is>
      </c>
    </row>
    <row r="12">
      <c r="A12" t="inlineStr">
        <is>
          <t>F1-score: Media armónica de precision y recall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8.4" customWidth="1" min="1" max="1"/>
  </cols>
  <sheetData>
    <row r="1">
      <c r="A1" s="1" t="inlineStr">
        <is>
          <t>Análisis de Errores</t>
        </is>
      </c>
    </row>
    <row r="2">
      <c r="A2" s="2" t="inlineStr">
        <is>
          <t>Archivo</t>
        </is>
      </c>
      <c r="B2" s="2" t="inlineStr">
        <is>
          <t>ID Origen</t>
        </is>
      </c>
      <c r="C2" s="2" t="inlineStr">
        <is>
          <t>ID Destino</t>
        </is>
      </c>
      <c r="D2" s="2" t="inlineStr">
        <is>
          <t>Tipo Error</t>
        </is>
      </c>
      <c r="E2" s="2" t="inlineStr">
        <is>
          <t>Modelo Similitud</t>
        </is>
      </c>
      <c r="F2" s="2" t="inlineStr">
        <is>
          <t>Golden Similitud</t>
        </is>
      </c>
      <c r="G2" s="2" t="inlineStr">
        <is>
          <t>Diferencia Total</t>
        </is>
      </c>
      <c r="H2" s="2" t="inlineStr">
        <is>
          <t>Dif. Sumilla</t>
        </is>
      </c>
      <c r="I2" s="2" t="inlineStr">
        <is>
          <t>Dif. Aprendizajes</t>
        </is>
      </c>
      <c r="J2" s="2" t="inlineStr">
        <is>
          <t>Dif. Unidades</t>
        </is>
      </c>
      <c r="K2" s="2" t="inlineStr">
        <is>
          <t>Dif. Bibliografía</t>
        </is>
      </c>
      <c r="L2" s="2" t="inlineStr">
        <is>
          <t>Componente Mayor Error</t>
        </is>
      </c>
    </row>
    <row r="3">
      <c r="A3" s="3" t="inlineStr">
        <is>
          <t>1_redes_computadoras.json</t>
        </is>
      </c>
      <c r="B3" s="4" t="n">
        <v>1</v>
      </c>
      <c r="C3" s="4" t="n">
        <v>2</v>
      </c>
      <c r="D3" s="3" t="inlineStr">
        <is>
          <t>Falso Negativo</t>
        </is>
      </c>
      <c r="E3" s="4" t="n">
        <v>0.7264822497963905</v>
      </c>
      <c r="F3" s="4" t="n">
        <v>0.785</v>
      </c>
      <c r="G3" s="5" t="n">
        <v>0.0585177502036095</v>
      </c>
      <c r="H3" s="4" t="n">
        <v>0.007532882690429732</v>
      </c>
      <c r="I3" s="4" t="n">
        <v>0.08245663642883305</v>
      </c>
      <c r="J3" s="4" t="n">
        <v>0.106016030907631</v>
      </c>
      <c r="K3" s="4" t="n">
        <v>0.2572962641716003</v>
      </c>
      <c r="L3" s="3" t="inlineStr">
        <is>
          <t>Bibliografía</t>
        </is>
      </c>
    </row>
    <row r="4">
      <c r="A4" s="3" t="inlineStr">
        <is>
          <t>2_base_de_datos.json</t>
        </is>
      </c>
      <c r="B4" s="4" t="n">
        <v>3</v>
      </c>
      <c r="C4" s="4" t="n">
        <v>4</v>
      </c>
      <c r="D4" s="3" t="inlineStr">
        <is>
          <t>Falso Negativo</t>
        </is>
      </c>
      <c r="E4" s="4" t="n">
        <v>0.7427010662853718</v>
      </c>
      <c r="F4" s="4" t="n">
        <v>0.7500000000000001</v>
      </c>
      <c r="G4" s="5" t="n">
        <v>0.007298933714628308</v>
      </c>
      <c r="H4" s="4" t="n">
        <v>0.09038083553314213</v>
      </c>
      <c r="I4" s="4" t="n">
        <v>0.03679400682449341</v>
      </c>
      <c r="J4" s="4" t="n">
        <v>0.0847522065043449</v>
      </c>
      <c r="K4" s="4" t="n">
        <v>0.3968152403831482</v>
      </c>
      <c r="L4" s="3" t="inlineStr">
        <is>
          <t>Bibliografía</t>
        </is>
      </c>
    </row>
    <row r="5">
      <c r="A5" s="3" t="inlineStr">
        <is>
          <t>4_arquitectura_computador.json</t>
        </is>
      </c>
      <c r="B5" s="4" t="n">
        <v>7</v>
      </c>
      <c r="C5" s="4" t="n">
        <v>8</v>
      </c>
      <c r="D5" s="3" t="inlineStr">
        <is>
          <t>Falso Negativo</t>
        </is>
      </c>
      <c r="E5" s="4" t="n">
        <v>0.7183669880032539</v>
      </c>
      <c r="F5" s="4" t="n">
        <v>0.7475000000000001</v>
      </c>
      <c r="G5" s="5" t="n">
        <v>0.02913301199674612</v>
      </c>
      <c r="H5" s="4" t="n">
        <v>0.02355942726135252</v>
      </c>
      <c r="I5" s="4" t="n">
        <v>0.003564941883087203</v>
      </c>
      <c r="J5" s="4" t="n">
        <v>0.05297506749629965</v>
      </c>
      <c r="K5" s="4" t="n">
        <v>0.0791473388671875</v>
      </c>
      <c r="L5" s="3" t="inlineStr">
        <is>
          <t>Bibliografía</t>
        </is>
      </c>
    </row>
    <row r="7">
      <c r="A7" t="inlineStr">
        <is>
          <t>Análisis detallado de los casos con discrepancia</t>
        </is>
      </c>
    </row>
    <row r="8">
      <c r="A8" t="inlineStr">
        <is>
          <t>Total errores: 3</t>
        </is>
      </c>
    </row>
    <row r="9">
      <c r="A9" t="inlineStr">
        <is>
          <t>Umbral similitud: 0.75</t>
        </is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0.4" customWidth="1" min="1" max="1"/>
  </cols>
  <sheetData>
    <row r="1">
      <c r="A1" s="1" t="inlineStr">
        <is>
          <t>Resumen Errores</t>
        </is>
      </c>
    </row>
    <row r="2">
      <c r="A2" s="2" t="inlineStr">
        <is>
          <t>Tipo Error</t>
        </is>
      </c>
      <c r="B2" s="2" t="inlineStr">
        <is>
          <t>Cantidad</t>
        </is>
      </c>
      <c r="C2" s="2" t="inlineStr">
        <is>
          <t>Porcentaje</t>
        </is>
      </c>
    </row>
    <row r="3">
      <c r="A3" s="3" t="inlineStr">
        <is>
          <t>Falso Positivo</t>
        </is>
      </c>
      <c r="B3" s="4" t="n">
        <v>0</v>
      </c>
      <c r="C3" s="4" t="n">
        <v>0</v>
      </c>
    </row>
    <row r="4">
      <c r="A4" s="3" t="inlineStr">
        <is>
          <t>Falso Negativo</t>
        </is>
      </c>
      <c r="B4" s="4" t="n">
        <v>3</v>
      </c>
      <c r="C4" s="4" t="n">
        <v>100</v>
      </c>
    </row>
    <row r="5">
      <c r="A5" s="3" t="inlineStr">
        <is>
          <t>Total</t>
        </is>
      </c>
      <c r="B5" s="4" t="n">
        <v>3</v>
      </c>
      <c r="C5" s="4" t="n">
        <v>100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27.6" customWidth="1" min="1" max="1"/>
  </cols>
  <sheetData>
    <row r="1">
      <c r="A1" s="1" t="inlineStr">
        <is>
          <t>Componentes con Error</t>
        </is>
      </c>
    </row>
    <row r="2">
      <c r="A2" s="2" t="inlineStr">
        <is>
          <t>Componente</t>
        </is>
      </c>
      <c r="B2" s="2" t="inlineStr">
        <is>
          <t>Errores</t>
        </is>
      </c>
      <c r="C2" s="2" t="inlineStr">
        <is>
          <t>Porcentaje</t>
        </is>
      </c>
    </row>
    <row r="3">
      <c r="A3" s="3" t="inlineStr">
        <is>
          <t>Bibliografía</t>
        </is>
      </c>
      <c r="B3" s="4" t="n">
        <v>3</v>
      </c>
      <c r="C3" s="4" t="n">
        <v>100</v>
      </c>
    </row>
  </sheetData>
  <mergeCells count="1">
    <mergeCell ref="A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8.4" customWidth="1" min="1" max="1"/>
  </cols>
  <sheetData>
    <row r="1">
      <c r="A1" s="1" t="inlineStr">
        <is>
          <t>Detalle por Archivo</t>
        </is>
      </c>
    </row>
    <row r="2">
      <c r="A2" s="2" t="inlineStr">
        <is>
          <t>Archivo</t>
        </is>
      </c>
      <c r="B2" s="2" t="inlineStr">
        <is>
          <t>Comparaciones</t>
        </is>
      </c>
      <c r="C2" s="2" t="inlineStr">
        <is>
          <t>Tiempo (s)</t>
        </is>
      </c>
      <c r="D2" s="2" t="inlineStr">
        <is>
          <t>Similitud Promedio</t>
        </is>
      </c>
      <c r="E2" s="2" t="inlineStr">
        <is>
          <t>Emparejamiento Promedio</t>
        </is>
      </c>
      <c r="F2" s="2" t="inlineStr">
        <is>
          <t>Coherencia Interna</t>
        </is>
      </c>
    </row>
    <row r="3">
      <c r="A3" s="3" t="inlineStr">
        <is>
          <t>1_redes_computadoras.json</t>
        </is>
      </c>
      <c r="B3" s="4" t="n">
        <v>1</v>
      </c>
      <c r="C3" s="4" t="n">
        <v>4.944381713867188</v>
      </c>
      <c r="D3" s="4" t="n">
        <v>0.7264822497963905</v>
      </c>
      <c r="E3" s="4" t="n">
        <v>1</v>
      </c>
      <c r="F3" s="4" t="n">
        <v>0.9623392834391458</v>
      </c>
    </row>
    <row r="4">
      <c r="A4" s="3" t="inlineStr">
        <is>
          <t>3_auditoría_sistemas.json</t>
        </is>
      </c>
      <c r="B4" s="4" t="n">
        <v>1</v>
      </c>
      <c r="C4" s="4" t="n">
        <v>5.459672927856445</v>
      </c>
      <c r="D4" s="4" t="n">
        <v>0.7601426824927331</v>
      </c>
      <c r="E4" s="4" t="n">
        <v>1</v>
      </c>
      <c r="F4" s="4" t="n">
        <v>0.9453696740280465</v>
      </c>
    </row>
    <row r="5">
      <c r="A5" s="3" t="inlineStr">
        <is>
          <t>2_base_de_datos.json</t>
        </is>
      </c>
      <c r="B5" s="4" t="n">
        <v>1</v>
      </c>
      <c r="C5" s="4" t="n">
        <v>5.671695709228516</v>
      </c>
      <c r="D5" s="4" t="n">
        <v>0.7427010662853718</v>
      </c>
      <c r="E5" s="4" t="n">
        <v>1</v>
      </c>
      <c r="F5" s="4" t="n">
        <v>0.9251616428508855</v>
      </c>
    </row>
    <row r="6">
      <c r="A6" s="3" t="inlineStr">
        <is>
          <t>4_arquitectura_computador.json</t>
        </is>
      </c>
      <c r="B6" s="4" t="n">
        <v>1</v>
      </c>
      <c r="C6" s="4" t="n">
        <v>5.776551961898804</v>
      </c>
      <c r="D6" s="4" t="n">
        <v>0.7183669880032539</v>
      </c>
      <c r="E6" s="4" t="n">
        <v>1</v>
      </c>
      <c r="F6" s="4" t="n">
        <v>0.8974119424964513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38.4" customWidth="1" min="1" max="1"/>
  </cols>
  <sheetData>
    <row r="1">
      <c r="A1" s="1" t="inlineStr">
        <is>
          <t>Comparaciones Individuales</t>
        </is>
      </c>
    </row>
    <row r="2">
      <c r="A2" s="2" t="inlineStr">
        <is>
          <t>Archivo</t>
        </is>
      </c>
      <c r="B2" s="2" t="inlineStr">
        <is>
          <t>ID Origen</t>
        </is>
      </c>
      <c r="C2" s="2" t="inlineStr">
        <is>
          <t>ID Destino</t>
        </is>
      </c>
      <c r="D2" s="2" t="inlineStr">
        <is>
          <t>Similitud Sumilla</t>
        </is>
      </c>
      <c r="E2" s="2" t="inlineStr">
        <is>
          <t>Similitud Aprendizajes</t>
        </is>
      </c>
      <c r="F2" s="2" t="inlineStr">
        <is>
          <t>Similitud Unidades</t>
        </is>
      </c>
      <c r="G2" s="2" t="inlineStr">
        <is>
          <t>Similitud Bibliografía</t>
        </is>
      </c>
      <c r="H2" s="2" t="inlineStr">
        <is>
          <t>Similitud Ponderada</t>
        </is>
      </c>
      <c r="I2" s="2" t="inlineStr">
        <is>
          <t>Es Similar</t>
        </is>
      </c>
      <c r="J2" s="2" t="inlineStr">
        <is>
          <t>Referencia Ponderada</t>
        </is>
      </c>
      <c r="K2" s="2" t="inlineStr">
        <is>
          <t>Diferencia</t>
        </is>
      </c>
      <c r="L2" s="2" t="inlineStr">
        <is>
          <t>Acierto</t>
        </is>
      </c>
    </row>
    <row r="3">
      <c r="A3" s="3" t="inlineStr">
        <is>
          <t>1_redes_computadoras.json</t>
        </is>
      </c>
      <c r="B3" s="4" t="n">
        <v>1</v>
      </c>
      <c r="C3" s="4" t="n">
        <v>2</v>
      </c>
      <c r="D3" s="4" t="n">
        <v>0.7924671173095703</v>
      </c>
      <c r="E3" s="4" t="n">
        <v>0.717543363571167</v>
      </c>
      <c r="F3" s="4" t="n">
        <v>0.693983969092369</v>
      </c>
      <c r="G3" s="4" t="n">
        <v>0.7572962641716003</v>
      </c>
      <c r="H3" s="4" t="n">
        <v>0.7264822497963905</v>
      </c>
      <c r="I3" s="3" t="inlineStr">
        <is>
          <t>No</t>
        </is>
      </c>
      <c r="J3" s="4" t="n">
        <v>0.785</v>
      </c>
      <c r="K3" s="4" t="n">
        <v>0.0585177502036095</v>
      </c>
      <c r="L3" s="3" t="inlineStr">
        <is>
          <t>No</t>
        </is>
      </c>
    </row>
    <row r="4">
      <c r="A4" s="3" t="inlineStr">
        <is>
          <t>3_auditoría_sistemas.json</t>
        </is>
      </c>
      <c r="B4" s="4" t="n">
        <v>5</v>
      </c>
      <c r="C4" s="4" t="n">
        <v>6</v>
      </c>
      <c r="D4" s="4" t="n">
        <v>0.80195152759552</v>
      </c>
      <c r="E4" s="4" t="n">
        <v>0.790262758731842</v>
      </c>
      <c r="F4" s="4" t="n">
        <v>0.7161840826272965</v>
      </c>
      <c r="G4" s="4" t="n">
        <v>0.8702041506767273</v>
      </c>
      <c r="H4" s="4" t="n">
        <v>0.7601426824927331</v>
      </c>
      <c r="I4" s="3" t="inlineStr">
        <is>
          <t>Sí</t>
        </is>
      </c>
      <c r="J4" s="4" t="n">
        <v>0.7975000000000001</v>
      </c>
      <c r="K4" s="4" t="n">
        <v>0.03735731750726701</v>
      </c>
      <c r="L4" s="3" t="inlineStr">
        <is>
          <t>Sí</t>
        </is>
      </c>
    </row>
    <row r="5">
      <c r="A5" s="3" t="inlineStr">
        <is>
          <t>2_base_de_datos.json</t>
        </is>
      </c>
      <c r="B5" s="4" t="n">
        <v>3</v>
      </c>
      <c r="C5" s="4" t="n">
        <v>4</v>
      </c>
      <c r="D5" s="4" t="n">
        <v>0.7903808355331421</v>
      </c>
      <c r="E5" s="4" t="n">
        <v>0.7132059931755066</v>
      </c>
      <c r="F5" s="4" t="n">
        <v>0.7152477934956551</v>
      </c>
      <c r="G5" s="4" t="n">
        <v>0.8968152403831482</v>
      </c>
      <c r="H5" s="4" t="n">
        <v>0.7427010662853718</v>
      </c>
      <c r="I5" s="3" t="inlineStr">
        <is>
          <t>No</t>
        </is>
      </c>
      <c r="J5" s="4" t="n">
        <v>0.7500000000000001</v>
      </c>
      <c r="K5" s="4" t="n">
        <v>0.007298933714628308</v>
      </c>
      <c r="L5" s="3" t="inlineStr">
        <is>
          <t>No</t>
        </is>
      </c>
    </row>
    <row r="6">
      <c r="A6" s="3" t="inlineStr">
        <is>
          <t>4_arquitectura_computador.json</t>
        </is>
      </c>
      <c r="B6" s="4" t="n">
        <v>7</v>
      </c>
      <c r="C6" s="4" t="n">
        <v>8</v>
      </c>
      <c r="D6" s="4" t="n">
        <v>0.8264405727386475</v>
      </c>
      <c r="E6" s="4" t="n">
        <v>0.7964350581169128</v>
      </c>
      <c r="F6" s="4" t="n">
        <v>0.6470249325037003</v>
      </c>
      <c r="G6" s="4" t="n">
        <v>0.5791473388671875</v>
      </c>
      <c r="H6" s="4" t="n">
        <v>0.7183669880032539</v>
      </c>
      <c r="I6" s="3" t="inlineStr">
        <is>
          <t>No</t>
        </is>
      </c>
      <c r="J6" s="4" t="n">
        <v>0.7475000000000001</v>
      </c>
      <c r="K6" s="4" t="n">
        <v>0.02913301199674612</v>
      </c>
      <c r="L6" s="3" t="inlineStr">
        <is>
          <t>No</t>
        </is>
      </c>
    </row>
    <row r="8">
      <c r="A8" t="inlineStr">
        <is>
          <t>Detalle de todas las comparaciones realizadas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2025-05-21T06:06:43Z</dcterms:created>
  <dcterms:modified xsi:type="dcterms:W3CDTF">2025-05-21T06:06:49Z</dcterms:modified>
</cp:coreProperties>
</file>