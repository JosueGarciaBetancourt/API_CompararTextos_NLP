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gramas propios\Python\API_CompararTextos\resultados_evaluacion\"/>
    </mc:Choice>
  </mc:AlternateContent>
  <xr:revisionPtr revIDLastSave="0" documentId="13_ncr:1_{8A16A810-5A45-4617-8778-3ECBC3B0E036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Resumen Ejecutivo" sheetId="1" r:id="rId1"/>
    <sheet name="Métricas Similitud" sheetId="2" r:id="rId2"/>
    <sheet name="Distribución Similitud" sheetId="3" r:id="rId3"/>
    <sheet name="Comparación Modelo vs Golden" sheetId="4" r:id="rId4"/>
    <sheet name="Matriz de Confusión" sheetId="5" r:id="rId5"/>
    <sheet name="Reporte Clasificación" sheetId="6" r:id="rId6"/>
    <sheet name="Análisis de Errores" sheetId="7" r:id="rId7"/>
    <sheet name="Resumen Errores" sheetId="8" r:id="rId8"/>
    <sheet name="Componentes con Error" sheetId="9" r:id="rId9"/>
    <sheet name="Detalle por Archivo" sheetId="10" r:id="rId10"/>
    <sheet name="Comparaciones Individuales" sheetId="11" r:id="rId11"/>
  </sheets>
  <calcPr calcId="0"/>
</workbook>
</file>

<file path=xl/sharedStrings.xml><?xml version="1.0" encoding="utf-8"?>
<sst xmlns="http://schemas.openxmlformats.org/spreadsheetml/2006/main" count="251" uniqueCount="121">
  <si>
    <t>Resumen Ejecutivo</t>
  </si>
  <si>
    <t>Métrica</t>
  </si>
  <si>
    <t>Valor</t>
  </si>
  <si>
    <t>Total Archivos Evaluados</t>
  </si>
  <si>
    <t>Total Comparaciones</t>
  </si>
  <si>
    <t>Tasa Acierto Global</t>
  </si>
  <si>
    <t>85.71%</t>
  </si>
  <si>
    <t>MAE (Error Absoluto Medio)</t>
  </si>
  <si>
    <t>0.03</t>
  </si>
  <si>
    <t>RMSE (Error Cuadrático Medio)</t>
  </si>
  <si>
    <t>0.04</t>
  </si>
  <si>
    <t>R² (Coeficiente Determinación)</t>
  </si>
  <si>
    <t>0.64</t>
  </si>
  <si>
    <t>Tiempo Respuesta Promedio (s)</t>
  </si>
  <si>
    <t>3.36</t>
  </si>
  <si>
    <t>Resumen de las métricas clave de evaluación</t>
  </si>
  <si>
    <t>Umbral de similitud: 0.7</t>
  </si>
  <si>
    <t>Fecha generación: 2025-05-21 23:19:46</t>
  </si>
  <si>
    <t>Métricas Similitud</t>
  </si>
  <si>
    <t>Media</t>
  </si>
  <si>
    <t>Mediana</t>
  </si>
  <si>
    <t>Desviación Estándar</t>
  </si>
  <si>
    <t>Mínimo</t>
  </si>
  <si>
    <t>Máximo</t>
  </si>
  <si>
    <t>MAE</t>
  </si>
  <si>
    <t>MSE</t>
  </si>
  <si>
    <t>RMSE</t>
  </si>
  <si>
    <t>R²</t>
  </si>
  <si>
    <t>Accuracy</t>
  </si>
  <si>
    <t>Precision</t>
  </si>
  <si>
    <t>Recall</t>
  </si>
  <si>
    <t>F1</t>
  </si>
  <si>
    <t>Distribución Similitud</t>
  </si>
  <si>
    <t>Categoría</t>
  </si>
  <si>
    <t>Conteo</t>
  </si>
  <si>
    <t>Porcentaje</t>
  </si>
  <si>
    <t>Alta Similitud</t>
  </si>
  <si>
    <t>Media Similitud</t>
  </si>
  <si>
    <t>Baja Similitud</t>
  </si>
  <si>
    <t>Comparación Modelo vs Golden</t>
  </si>
  <si>
    <t>Archivo</t>
  </si>
  <si>
    <t>ID Origen</t>
  </si>
  <si>
    <t>ID Destino</t>
  </si>
  <si>
    <t>Modelo Similitud</t>
  </si>
  <si>
    <t>Golden Similitud</t>
  </si>
  <si>
    <t>Diferencia Absoluta</t>
  </si>
  <si>
    <t>Modelo Decisión</t>
  </si>
  <si>
    <t>Golden Decisión</t>
  </si>
  <si>
    <t>Concordancia</t>
  </si>
  <si>
    <t>Tipo Error</t>
  </si>
  <si>
    <t>10_sistemas_operativos.json</t>
  </si>
  <si>
    <t>No Similar</t>
  </si>
  <si>
    <t>Similar</t>
  </si>
  <si>
    <t>No</t>
  </si>
  <si>
    <t>Falso Negativo</t>
  </si>
  <si>
    <t>12_taller_de_proyectos_1.json</t>
  </si>
  <si>
    <t>Sí</t>
  </si>
  <si>
    <t>N/A</t>
  </si>
  <si>
    <t>0_demo.json</t>
  </si>
  <si>
    <t>11_ingenieria_economica.json</t>
  </si>
  <si>
    <t>3_auditoría_sistemas.json</t>
  </si>
  <si>
    <t>13_taller_de_proyectos_2.json</t>
  </si>
  <si>
    <t>1_redes_computadoras.json</t>
  </si>
  <si>
    <t>2_base_de_datos.json</t>
  </si>
  <si>
    <t>7_ecuaciones_diferenciales.json</t>
  </si>
  <si>
    <t>5_estructura_de_datos.json</t>
  </si>
  <si>
    <t>6_matematica_discreta.json</t>
  </si>
  <si>
    <t>4_arquitectura_computador.json</t>
  </si>
  <si>
    <t>9_sistemas_digitales.json</t>
  </si>
  <si>
    <t>8_investigacion_operativa.json</t>
  </si>
  <si>
    <t>Comparación detallada entre predicciones del modelo y golden standard</t>
  </si>
  <si>
    <t>Total comparaciones: 14</t>
  </si>
  <si>
    <t>Tasa de concordancia: 85.71%</t>
  </si>
  <si>
    <t>Matriz de Confusión</t>
  </si>
  <si>
    <t>Pred No Similar</t>
  </si>
  <si>
    <t>Pred Similar</t>
  </si>
  <si>
    <t>Comparación entre decisiones del modelo y golden standard</t>
  </si>
  <si>
    <t>Reporte Clasificación</t>
  </si>
  <si>
    <t>precision</t>
  </si>
  <si>
    <t>recall</t>
  </si>
  <si>
    <t>f1-score</t>
  </si>
  <si>
    <t>support</t>
  </si>
  <si>
    <t>Métricas de clasificación del modelo vs golden standard</t>
  </si>
  <si>
    <t>Precision: Verdaderos positivos / (Verdaderos positivos + Falsos positivos)</t>
  </si>
  <si>
    <t>Recall: Verdaderos positivos / (Verdaderos positivos + Falsos negativos)</t>
  </si>
  <si>
    <t>F1-score: Media armónica de precision y recall</t>
  </si>
  <si>
    <t>Análisis de Errores</t>
  </si>
  <si>
    <t>Diferencia Total</t>
  </si>
  <si>
    <t>Dif. Sumilla</t>
  </si>
  <si>
    <t>Dif. Aprendizajes</t>
  </si>
  <si>
    <t>Dif. Unidades</t>
  </si>
  <si>
    <t>Dif. Bibliografía</t>
  </si>
  <si>
    <t>Componente Mayor Error</t>
  </si>
  <si>
    <t>Bibliografía</t>
  </si>
  <si>
    <t>Análisis detallado de los casos con discrepancia</t>
  </si>
  <si>
    <t>Total errores: 2</t>
  </si>
  <si>
    <t>Umbral similitud: 0.7</t>
  </si>
  <si>
    <t>Resumen Errores</t>
  </si>
  <si>
    <t>Cantidad</t>
  </si>
  <si>
    <t>Falso Positivo</t>
  </si>
  <si>
    <t>Total</t>
  </si>
  <si>
    <t>Componentes con Error</t>
  </si>
  <si>
    <t>Componente</t>
  </si>
  <si>
    <t>Errores</t>
  </si>
  <si>
    <t>Detalle por Archivo</t>
  </si>
  <si>
    <t>Comparaciones</t>
  </si>
  <si>
    <t>Tiempo (s)</t>
  </si>
  <si>
    <t>Similitud Promedio</t>
  </si>
  <si>
    <t>Emparejamiento Promedio</t>
  </si>
  <si>
    <t>Coherencia Interna</t>
  </si>
  <si>
    <t>Comparaciones Individuales</t>
  </si>
  <si>
    <t>Similitud Sumilla</t>
  </si>
  <si>
    <t>Similitud Aprendizajes</t>
  </si>
  <si>
    <t>Similitud Unidades</t>
  </si>
  <si>
    <t>Similitud Bibliografía</t>
  </si>
  <si>
    <t>Similitud Ponderada</t>
  </si>
  <si>
    <t>Es Similar</t>
  </si>
  <si>
    <t>Referencia Ponderada</t>
  </si>
  <si>
    <t>Diferencia</t>
  </si>
  <si>
    <t>Acierto</t>
  </si>
  <si>
    <t>Detalle de todas las comparaciones realizadas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</si>
</sst>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0" fillId="3" borderId="1" xfId="0" applyNumberFormat="1" applyFill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PE"/>
              <a:t>Métricas Clave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Ejecutivo'!$B$2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'Resumen Ejecutivo'!$A$3:$A$9</c:f>
              <c:strCache>
                <c:ptCount val="7"/>
                <c:pt idx="0">
                  <c:v>Total Archivos Evaluados</c:v>
                </c:pt>
                <c:pt idx="1">
                  <c:v>Total Comparaciones</c:v>
                </c:pt>
                <c:pt idx="2">
                  <c:v>Tasa Acierto Global</c:v>
                </c:pt>
                <c:pt idx="3">
                  <c:v>MAE (Error Absoluto Medio)</c:v>
                </c:pt>
                <c:pt idx="4">
                  <c:v>RMSE (Error Cuadrático Medio)</c:v>
                </c:pt>
                <c:pt idx="5">
                  <c:v>R² (Coeficiente Determinación)</c:v>
                </c:pt>
                <c:pt idx="6">
                  <c:v>Tiempo Respuesta Promedio (s)</c:v>
                </c:pt>
              </c:strCache>
            </c:strRef>
          </c:cat>
          <c:val>
            <c:numRef>
              <c:f>'Resumen Ejecutivo'!$B$3:$B$9</c:f>
              <c:numCache>
                <c:formatCode>0.00</c:formatCode>
                <c:ptCount val="7"/>
                <c:pt idx="0">
                  <c:v>14</c:v>
                </c:pt>
                <c:pt idx="1">
                  <c:v>14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7-421F-A84C-76CA508DB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s-PE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Valor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PE"/>
              <a:t>Métricas de Similitud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'Métricas Similitud'!$B$2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'Métricas Similitud'!$A$3:$A$15</c:f>
              <c:strCache>
                <c:ptCount val="13"/>
                <c:pt idx="0">
                  <c:v>Media</c:v>
                </c:pt>
                <c:pt idx="1">
                  <c:v>Mediana</c:v>
                </c:pt>
                <c:pt idx="2">
                  <c:v>Desviación Estándar</c:v>
                </c:pt>
                <c:pt idx="3">
                  <c:v>Mínimo</c:v>
                </c:pt>
                <c:pt idx="4">
                  <c:v>Máximo</c:v>
                </c:pt>
                <c:pt idx="5">
                  <c:v>MAE</c:v>
                </c:pt>
                <c:pt idx="6">
                  <c:v>MSE</c:v>
                </c:pt>
                <c:pt idx="7">
                  <c:v>RMSE</c:v>
                </c:pt>
                <c:pt idx="8">
                  <c:v>R²</c:v>
                </c:pt>
                <c:pt idx="9">
                  <c:v>Accuracy</c:v>
                </c:pt>
                <c:pt idx="10">
                  <c:v>Precision</c:v>
                </c:pt>
                <c:pt idx="11">
                  <c:v>Recall</c:v>
                </c:pt>
                <c:pt idx="12">
                  <c:v>F1</c:v>
                </c:pt>
              </c:strCache>
            </c:strRef>
          </c:cat>
          <c:val>
            <c:numRef>
              <c:f>'Métricas Similitud'!$B$3:$B$15</c:f>
              <c:numCache>
                <c:formatCode>0.00</c:formatCode>
                <c:ptCount val="13"/>
                <c:pt idx="0">
                  <c:v>0.75709245509334988</c:v>
                </c:pt>
                <c:pt idx="1">
                  <c:v>0.7472309069335461</c:v>
                </c:pt>
                <c:pt idx="2">
                  <c:v>7.5392786076836443E-2</c:v>
                </c:pt>
                <c:pt idx="3">
                  <c:v>0.68147463917732243</c:v>
                </c:pt>
                <c:pt idx="4">
                  <c:v>1.000000027418136</c:v>
                </c:pt>
                <c:pt idx="5">
                  <c:v>3.4876723276717307E-2</c:v>
                </c:pt>
                <c:pt idx="6">
                  <c:v>2.0173307003516572E-3</c:v>
                </c:pt>
                <c:pt idx="7">
                  <c:v>4.4914704722970822E-2</c:v>
                </c:pt>
                <c:pt idx="8">
                  <c:v>0.63718105832317884</c:v>
                </c:pt>
                <c:pt idx="9">
                  <c:v>0.8571428571428571</c:v>
                </c:pt>
                <c:pt idx="10">
                  <c:v>1</c:v>
                </c:pt>
                <c:pt idx="11">
                  <c:v>0.84615384615384615</c:v>
                </c:pt>
                <c:pt idx="12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4-47FF-9E8D-7C78248E1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s-PE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Valor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Distribución de Similitudes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'Distribución Similitud'!$B$2</c:f>
              <c:strCache>
                <c:ptCount val="1"/>
                <c:pt idx="0">
                  <c:v>Conteo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'Distribución Similitud'!$A$3:$A$5</c:f>
              <c:strCache>
                <c:ptCount val="3"/>
                <c:pt idx="0">
                  <c:v>Alta Similitud</c:v>
                </c:pt>
                <c:pt idx="1">
                  <c:v>Media Similitud</c:v>
                </c:pt>
                <c:pt idx="2">
                  <c:v>Baja Similitud</c:v>
                </c:pt>
              </c:strCache>
            </c:strRef>
          </c:cat>
          <c:val>
            <c:numRef>
              <c:f>'Distribución Similitud'!$B$3:$B$5</c:f>
              <c:numCache>
                <c:formatCode>0.00</c:formatCode>
                <c:ptCount val="3"/>
                <c:pt idx="0">
                  <c:v>1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9-4F34-8366-8BBFA547C6A5}"/>
            </c:ext>
          </c:extLst>
        </c:ser>
        <c:ser>
          <c:idx val="1"/>
          <c:order val="1"/>
          <c:tx>
            <c:strRef>
              <c:f>'Distribución Similitud'!$C$2</c:f>
              <c:strCache>
                <c:ptCount val="1"/>
                <c:pt idx="0">
                  <c:v>Porcentaje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'Distribución Similitud'!$A$3:$A$5</c:f>
              <c:strCache>
                <c:ptCount val="3"/>
                <c:pt idx="0">
                  <c:v>Alta Similitud</c:v>
                </c:pt>
                <c:pt idx="1">
                  <c:v>Media Similitud</c:v>
                </c:pt>
                <c:pt idx="2">
                  <c:v>Baja Similitud</c:v>
                </c:pt>
              </c:strCache>
            </c:strRef>
          </c:cat>
          <c:val>
            <c:numRef>
              <c:f>'Distribución Similitud'!$C$3:$C$5</c:f>
              <c:numCache>
                <c:formatCode>0.00</c:formatCode>
                <c:ptCount val="3"/>
                <c:pt idx="0">
                  <c:v>7.1428571428571423</c:v>
                </c:pt>
                <c:pt idx="1">
                  <c:v>42.857142857142847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9-4F34-8366-8BBFA547C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Porcentaje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Distribución de Tipos de Error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Errores'!$B$2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'Resumen Errores'!$A$3:$A$5</c:f>
              <c:strCache>
                <c:ptCount val="3"/>
                <c:pt idx="0">
                  <c:v>Falso Positivo</c:v>
                </c:pt>
                <c:pt idx="1">
                  <c:v>Falso Negativo</c:v>
                </c:pt>
                <c:pt idx="2">
                  <c:v>Total</c:v>
                </c:pt>
              </c:strCache>
            </c:strRef>
          </c:cat>
          <c:val>
            <c:numRef>
              <c:f>'Resumen Errores'!$B$3:$B$5</c:f>
              <c:numCache>
                <c:formatCode>0.00</c:formatCode>
                <c:ptCount val="3"/>
                <c:pt idx="0">
                  <c:v>0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4-4D99-A82C-22C259026711}"/>
            </c:ext>
          </c:extLst>
        </c:ser>
        <c:ser>
          <c:idx val="1"/>
          <c:order val="1"/>
          <c:tx>
            <c:strRef>
              <c:f>'Resumen Errores'!$C$2</c:f>
              <c:strCache>
                <c:ptCount val="1"/>
                <c:pt idx="0">
                  <c:v>Porcentaje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'Resumen Errores'!$A$3:$A$5</c:f>
              <c:strCache>
                <c:ptCount val="3"/>
                <c:pt idx="0">
                  <c:v>Falso Positivo</c:v>
                </c:pt>
                <c:pt idx="1">
                  <c:v>Falso Negativo</c:v>
                </c:pt>
                <c:pt idx="2">
                  <c:v>Total</c:v>
                </c:pt>
              </c:strCache>
            </c:strRef>
          </c:cat>
          <c:val>
            <c:numRef>
              <c:f>'Resumen Errores'!$C$3:$C$5</c:f>
              <c:numCache>
                <c:formatCode>0.00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E4-4D99-A82C-22C259026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Porcentaje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Evolución Similitud por Archivo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'Detalle por Archivo'!$B$2</c:f>
              <c:strCache>
                <c:ptCount val="1"/>
                <c:pt idx="0">
                  <c:v>Comparaciones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'Detalle por Archivo'!$A$3:$A$16</c:f>
              <c:strCache>
                <c:ptCount val="14"/>
                <c:pt idx="0">
                  <c:v>10_sistemas_operativos.json</c:v>
                </c:pt>
                <c:pt idx="1">
                  <c:v>12_taller_de_proyectos_1.json</c:v>
                </c:pt>
                <c:pt idx="2">
                  <c:v>0_demo.json</c:v>
                </c:pt>
                <c:pt idx="3">
                  <c:v>11_ingenieria_economica.json</c:v>
                </c:pt>
                <c:pt idx="4">
                  <c:v>3_auditoría_sistemas.json</c:v>
                </c:pt>
                <c:pt idx="5">
                  <c:v>13_taller_de_proyectos_2.json</c:v>
                </c:pt>
                <c:pt idx="6">
                  <c:v>1_redes_computadoras.json</c:v>
                </c:pt>
                <c:pt idx="7">
                  <c:v>2_base_de_datos.json</c:v>
                </c:pt>
                <c:pt idx="8">
                  <c:v>7_ecuaciones_diferenciales.json</c:v>
                </c:pt>
                <c:pt idx="9">
                  <c:v>5_estructura_de_datos.json</c:v>
                </c:pt>
                <c:pt idx="10">
                  <c:v>6_matematica_discreta.json</c:v>
                </c:pt>
                <c:pt idx="11">
                  <c:v>4_arquitectura_computador.json</c:v>
                </c:pt>
                <c:pt idx="12">
                  <c:v>9_sistemas_digitales.json</c:v>
                </c:pt>
                <c:pt idx="13">
                  <c:v>8_investigacion_operativa.json</c:v>
                </c:pt>
              </c:strCache>
            </c:strRef>
          </c:cat>
          <c:val>
            <c:numRef>
              <c:f>'Detalle por Archivo'!$B$3:$B$16</c:f>
              <c:numCache>
                <c:formatCode>0.00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44-415F-B41E-54C7941CEF79}"/>
            </c:ext>
          </c:extLst>
        </c:ser>
        <c:ser>
          <c:idx val="1"/>
          <c:order val="1"/>
          <c:tx>
            <c:strRef>
              <c:f>'Detalle por Archivo'!$C$2</c:f>
              <c:strCache>
                <c:ptCount val="1"/>
                <c:pt idx="0">
                  <c:v>Tiempo (s)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'Detalle por Archivo'!$A$3:$A$16</c:f>
              <c:strCache>
                <c:ptCount val="14"/>
                <c:pt idx="0">
                  <c:v>10_sistemas_operativos.json</c:v>
                </c:pt>
                <c:pt idx="1">
                  <c:v>12_taller_de_proyectos_1.json</c:v>
                </c:pt>
                <c:pt idx="2">
                  <c:v>0_demo.json</c:v>
                </c:pt>
                <c:pt idx="3">
                  <c:v>11_ingenieria_economica.json</c:v>
                </c:pt>
                <c:pt idx="4">
                  <c:v>3_auditoría_sistemas.json</c:v>
                </c:pt>
                <c:pt idx="5">
                  <c:v>13_taller_de_proyectos_2.json</c:v>
                </c:pt>
                <c:pt idx="6">
                  <c:v>1_redes_computadoras.json</c:v>
                </c:pt>
                <c:pt idx="7">
                  <c:v>2_base_de_datos.json</c:v>
                </c:pt>
                <c:pt idx="8">
                  <c:v>7_ecuaciones_diferenciales.json</c:v>
                </c:pt>
                <c:pt idx="9">
                  <c:v>5_estructura_de_datos.json</c:v>
                </c:pt>
                <c:pt idx="10">
                  <c:v>6_matematica_discreta.json</c:v>
                </c:pt>
                <c:pt idx="11">
                  <c:v>4_arquitectura_computador.json</c:v>
                </c:pt>
                <c:pt idx="12">
                  <c:v>9_sistemas_digitales.json</c:v>
                </c:pt>
                <c:pt idx="13">
                  <c:v>8_investigacion_operativa.json</c:v>
                </c:pt>
              </c:strCache>
            </c:strRef>
          </c:cat>
          <c:val>
            <c:numRef>
              <c:f>'Detalle por Archivo'!$C$3:$C$16</c:f>
              <c:numCache>
                <c:formatCode>0.00</c:formatCode>
                <c:ptCount val="14"/>
                <c:pt idx="0">
                  <c:v>2.595370769500732</c:v>
                </c:pt>
                <c:pt idx="1">
                  <c:v>2.600854873657227</c:v>
                </c:pt>
                <c:pt idx="2">
                  <c:v>2.6018660068511958</c:v>
                </c:pt>
                <c:pt idx="3">
                  <c:v>2.6008567810058589</c:v>
                </c:pt>
                <c:pt idx="4">
                  <c:v>3.8211498260498051</c:v>
                </c:pt>
                <c:pt idx="5">
                  <c:v>3.9967186450958252</c:v>
                </c:pt>
                <c:pt idx="6">
                  <c:v>4.0274679660797119</c:v>
                </c:pt>
                <c:pt idx="7">
                  <c:v>4.0721776485443124</c:v>
                </c:pt>
                <c:pt idx="8">
                  <c:v>3.8675799369812012</c:v>
                </c:pt>
                <c:pt idx="9">
                  <c:v>4.0175836086273193</c:v>
                </c:pt>
                <c:pt idx="10">
                  <c:v>3.987694263458252</c:v>
                </c:pt>
                <c:pt idx="11">
                  <c:v>4.3103392124176034</c:v>
                </c:pt>
                <c:pt idx="12">
                  <c:v>2.238385677337646</c:v>
                </c:pt>
                <c:pt idx="13">
                  <c:v>2.296442031860352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B44-415F-B41E-54C7941CEF79}"/>
            </c:ext>
          </c:extLst>
        </c:ser>
        <c:ser>
          <c:idx val="2"/>
          <c:order val="2"/>
          <c:tx>
            <c:strRef>
              <c:f>'Detalle por Archivo'!$D$2</c:f>
              <c:strCache>
                <c:ptCount val="1"/>
                <c:pt idx="0">
                  <c:v>Similitud Promedio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'Detalle por Archivo'!$A$3:$A$16</c:f>
              <c:strCache>
                <c:ptCount val="14"/>
                <c:pt idx="0">
                  <c:v>10_sistemas_operativos.json</c:v>
                </c:pt>
                <c:pt idx="1">
                  <c:v>12_taller_de_proyectos_1.json</c:v>
                </c:pt>
                <c:pt idx="2">
                  <c:v>0_demo.json</c:v>
                </c:pt>
                <c:pt idx="3">
                  <c:v>11_ingenieria_economica.json</c:v>
                </c:pt>
                <c:pt idx="4">
                  <c:v>3_auditoría_sistemas.json</c:v>
                </c:pt>
                <c:pt idx="5">
                  <c:v>13_taller_de_proyectos_2.json</c:v>
                </c:pt>
                <c:pt idx="6">
                  <c:v>1_redes_computadoras.json</c:v>
                </c:pt>
                <c:pt idx="7">
                  <c:v>2_base_de_datos.json</c:v>
                </c:pt>
                <c:pt idx="8">
                  <c:v>7_ecuaciones_diferenciales.json</c:v>
                </c:pt>
                <c:pt idx="9">
                  <c:v>5_estructura_de_datos.json</c:v>
                </c:pt>
                <c:pt idx="10">
                  <c:v>6_matematica_discreta.json</c:v>
                </c:pt>
                <c:pt idx="11">
                  <c:v>4_arquitectura_computador.json</c:v>
                </c:pt>
                <c:pt idx="12">
                  <c:v>9_sistemas_digitales.json</c:v>
                </c:pt>
                <c:pt idx="13">
                  <c:v>8_investigacion_operativa.json</c:v>
                </c:pt>
              </c:strCache>
            </c:strRef>
          </c:cat>
          <c:val>
            <c:numRef>
              <c:f>'Detalle por Archivo'!$D$3:$D$16</c:f>
              <c:numCache>
                <c:formatCode>0.00</c:formatCode>
                <c:ptCount val="14"/>
                <c:pt idx="0">
                  <c:v>0.68509304702281959</c:v>
                </c:pt>
                <c:pt idx="1">
                  <c:v>0.75970676183700558</c:v>
                </c:pt>
                <c:pt idx="2">
                  <c:v>1.000000027418136</c:v>
                </c:pt>
                <c:pt idx="3">
                  <c:v>0.68147463917732243</c:v>
                </c:pt>
                <c:pt idx="4">
                  <c:v>0.75292744398117062</c:v>
                </c:pt>
                <c:pt idx="5">
                  <c:v>0.77654744505882256</c:v>
                </c:pt>
                <c:pt idx="6">
                  <c:v>0.74033935010433194</c:v>
                </c:pt>
                <c:pt idx="7">
                  <c:v>0.75246476262807849</c:v>
                </c:pt>
                <c:pt idx="8">
                  <c:v>0.80050379097461699</c:v>
                </c:pt>
                <c:pt idx="9">
                  <c:v>0.68647099554538726</c:v>
                </c:pt>
                <c:pt idx="10">
                  <c:v>0.76516832530498502</c:v>
                </c:pt>
                <c:pt idx="11">
                  <c:v>0.71983874142169957</c:v>
                </c:pt>
                <c:pt idx="12">
                  <c:v>0.73676198959350581</c:v>
                </c:pt>
                <c:pt idx="13">
                  <c:v>0.74199705123901372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B44-415F-B41E-54C7941CEF79}"/>
            </c:ext>
          </c:extLst>
        </c:ser>
        <c:ser>
          <c:idx val="3"/>
          <c:order val="3"/>
          <c:tx>
            <c:strRef>
              <c:f>'Detalle por Archivo'!$E$2</c:f>
              <c:strCache>
                <c:ptCount val="1"/>
                <c:pt idx="0">
                  <c:v>Emparejamiento Promedio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'Detalle por Archivo'!$A$3:$A$16</c:f>
              <c:strCache>
                <c:ptCount val="14"/>
                <c:pt idx="0">
                  <c:v>10_sistemas_operativos.json</c:v>
                </c:pt>
                <c:pt idx="1">
                  <c:v>12_taller_de_proyectos_1.json</c:v>
                </c:pt>
                <c:pt idx="2">
                  <c:v>0_demo.json</c:v>
                </c:pt>
                <c:pt idx="3">
                  <c:v>11_ingenieria_economica.json</c:v>
                </c:pt>
                <c:pt idx="4">
                  <c:v>3_auditoría_sistemas.json</c:v>
                </c:pt>
                <c:pt idx="5">
                  <c:v>13_taller_de_proyectos_2.json</c:v>
                </c:pt>
                <c:pt idx="6">
                  <c:v>1_redes_computadoras.json</c:v>
                </c:pt>
                <c:pt idx="7">
                  <c:v>2_base_de_datos.json</c:v>
                </c:pt>
                <c:pt idx="8">
                  <c:v>7_ecuaciones_diferenciales.json</c:v>
                </c:pt>
                <c:pt idx="9">
                  <c:v>5_estructura_de_datos.json</c:v>
                </c:pt>
                <c:pt idx="10">
                  <c:v>6_matematica_discreta.json</c:v>
                </c:pt>
                <c:pt idx="11">
                  <c:v>4_arquitectura_computador.json</c:v>
                </c:pt>
                <c:pt idx="12">
                  <c:v>9_sistemas_digitales.json</c:v>
                </c:pt>
                <c:pt idx="13">
                  <c:v>8_investigacion_operativa.json</c:v>
                </c:pt>
              </c:strCache>
            </c:strRef>
          </c:cat>
          <c:val>
            <c:numRef>
              <c:f>'Detalle por Archivo'!$E$3:$E$16</c:f>
              <c:numCache>
                <c:formatCode>0.00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0.75</c:v>
                </c:pt>
                <c:pt idx="6">
                  <c:v>1</c:v>
                </c:pt>
                <c:pt idx="7">
                  <c:v>1</c:v>
                </c:pt>
                <c:pt idx="8">
                  <c:v>0.75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B44-415F-B41E-54C7941CEF79}"/>
            </c:ext>
          </c:extLst>
        </c:ser>
        <c:ser>
          <c:idx val="4"/>
          <c:order val="4"/>
          <c:tx>
            <c:strRef>
              <c:f>'Detalle por Archivo'!$F$2</c:f>
              <c:strCache>
                <c:ptCount val="1"/>
                <c:pt idx="0">
                  <c:v>Coherencia Interna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'Detalle por Archivo'!$A$3:$A$16</c:f>
              <c:strCache>
                <c:ptCount val="14"/>
                <c:pt idx="0">
                  <c:v>10_sistemas_operativos.json</c:v>
                </c:pt>
                <c:pt idx="1">
                  <c:v>12_taller_de_proyectos_1.json</c:v>
                </c:pt>
                <c:pt idx="2">
                  <c:v>0_demo.json</c:v>
                </c:pt>
                <c:pt idx="3">
                  <c:v>11_ingenieria_economica.json</c:v>
                </c:pt>
                <c:pt idx="4">
                  <c:v>3_auditoría_sistemas.json</c:v>
                </c:pt>
                <c:pt idx="5">
                  <c:v>13_taller_de_proyectos_2.json</c:v>
                </c:pt>
                <c:pt idx="6">
                  <c:v>1_redes_computadoras.json</c:v>
                </c:pt>
                <c:pt idx="7">
                  <c:v>2_base_de_datos.json</c:v>
                </c:pt>
                <c:pt idx="8">
                  <c:v>7_ecuaciones_diferenciales.json</c:v>
                </c:pt>
                <c:pt idx="9">
                  <c:v>5_estructura_de_datos.json</c:v>
                </c:pt>
                <c:pt idx="10">
                  <c:v>6_matematica_discreta.json</c:v>
                </c:pt>
                <c:pt idx="11">
                  <c:v>4_arquitectura_computador.json</c:v>
                </c:pt>
                <c:pt idx="12">
                  <c:v>9_sistemas_digitales.json</c:v>
                </c:pt>
                <c:pt idx="13">
                  <c:v>8_investigacion_operativa.json</c:v>
                </c:pt>
              </c:strCache>
            </c:strRef>
          </c:cat>
          <c:val>
            <c:numRef>
              <c:f>'Detalle por Archivo'!$F$3:$F$16</c:f>
              <c:numCache>
                <c:formatCode>0.00</c:formatCode>
                <c:ptCount val="14"/>
                <c:pt idx="0">
                  <c:v>0.92804513378079856</c:v>
                </c:pt>
                <c:pt idx="1">
                  <c:v>0.95026059723729361</c:v>
                </c:pt>
                <c:pt idx="2">
                  <c:v>0.99999993672706555</c:v>
                </c:pt>
                <c:pt idx="3">
                  <c:v>0.92245274505299124</c:v>
                </c:pt>
                <c:pt idx="4">
                  <c:v>0.94548490063984159</c:v>
                </c:pt>
                <c:pt idx="5">
                  <c:v>0.97323653638405838</c:v>
                </c:pt>
                <c:pt idx="6">
                  <c:v>0.96951785619506203</c:v>
                </c:pt>
                <c:pt idx="7">
                  <c:v>0.92829779530848466</c:v>
                </c:pt>
                <c:pt idx="8">
                  <c:v>0.93549767296892161</c:v>
                </c:pt>
                <c:pt idx="9">
                  <c:v>0.95844342781054226</c:v>
                </c:pt>
                <c:pt idx="10">
                  <c:v>0.92668816443314339</c:v>
                </c:pt>
                <c:pt idx="11">
                  <c:v>0.90114483264887002</c:v>
                </c:pt>
                <c:pt idx="12">
                  <c:v>0.93800639463781632</c:v>
                </c:pt>
                <c:pt idx="13">
                  <c:v>0.93286910756294672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B44-415F-B41E-54C7941CE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Similitud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9525000" cy="952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"/>
    </sheetView>
  </sheetViews>
  <sheetFormatPr baseColWidth="10" defaultColWidth="8.7265625" defaultRowHeight="14.5" x14ac:dyDescent="0.35"/>
  <cols>
    <col min="1" max="1" width="38.36328125" customWidth="1"/>
  </cols>
  <sheetData>
    <row r="1" spans="1:2" ht="18.5" x14ac:dyDescent="0.35">
      <c r="A1" s="5" t="s">
        <v>0</v>
      </c>
      <c r="B1" s="6"/>
    </row>
    <row r="2" spans="1:2" ht="15.5" x14ac:dyDescent="0.35">
      <c r="A2" s="1" t="s">
        <v>1</v>
      </c>
      <c r="B2" s="1" t="s">
        <v>2</v>
      </c>
    </row>
    <row r="3" spans="1:2" x14ac:dyDescent="0.35">
      <c r="A3" s="2" t="s">
        <v>3</v>
      </c>
      <c r="B3" s="3">
        <v>14</v>
      </c>
    </row>
    <row r="4" spans="1:2" x14ac:dyDescent="0.35">
      <c r="A4" s="2" t="s">
        <v>4</v>
      </c>
      <c r="B4" s="3">
        <v>14</v>
      </c>
    </row>
    <row r="5" spans="1:2" x14ac:dyDescent="0.35">
      <c r="A5" s="2" t="s">
        <v>5</v>
      </c>
      <c r="B5" s="2" t="s">
        <v>6</v>
      </c>
    </row>
    <row r="6" spans="1:2" x14ac:dyDescent="0.35">
      <c r="A6" s="2" t="s">
        <v>7</v>
      </c>
      <c r="B6" s="2" t="s">
        <v>8</v>
      </c>
    </row>
    <row r="7" spans="1:2" x14ac:dyDescent="0.35">
      <c r="A7" s="2" t="s">
        <v>9</v>
      </c>
      <c r="B7" s="2" t="s">
        <v>10</v>
      </c>
    </row>
    <row r="8" spans="1:2" x14ac:dyDescent="0.35">
      <c r="A8" s="2" t="s">
        <v>11</v>
      </c>
      <c r="B8" s="2" t="s">
        <v>12</v>
      </c>
    </row>
    <row r="9" spans="1:2" x14ac:dyDescent="0.35">
      <c r="A9" s="2" t="s">
        <v>13</v>
      </c>
      <c r="B9" s="2" t="s">
        <v>14</v>
      </c>
    </row>
    <row r="11" spans="1:2" x14ac:dyDescent="0.35">
      <c r="A11" t="s">
        <v>15</v>
      </c>
    </row>
    <row r="12" spans="1:2" x14ac:dyDescent="0.35">
      <c r="A12" t="s">
        <v>16</v>
      </c>
    </row>
    <row r="13" spans="1:2" x14ac:dyDescent="0.35">
      <c r="A13" t="s">
        <v>17</v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sqref="A1:B1"/>
    </sheetView>
  </sheetViews>
  <sheetFormatPr baseColWidth="10" defaultColWidth="8.7265625" defaultRowHeight="14.5" x14ac:dyDescent="0.35"/>
  <cols>
    <col min="1" max="1" width="25.1796875" customWidth="1"/>
  </cols>
  <sheetData>
    <row r="1" spans="1:2" ht="18.5" x14ac:dyDescent="0.35">
      <c r="A1" s="5" t="s">
        <v>18</v>
      </c>
      <c r="B1" s="6"/>
    </row>
    <row r="2" spans="1:2" ht="15.5" x14ac:dyDescent="0.35">
      <c r="A2" s="1" t="s">
        <v>1</v>
      </c>
      <c r="B2" s="1" t="s">
        <v>2</v>
      </c>
    </row>
    <row r="3" spans="1:2" x14ac:dyDescent="0.35">
      <c r="A3" s="2" t="s">
        <v>19</v>
      </c>
      <c r="B3" s="3">
        <v>0.75709245509334988</v>
      </c>
    </row>
    <row r="4" spans="1:2" x14ac:dyDescent="0.35">
      <c r="A4" s="2" t="s">
        <v>20</v>
      </c>
      <c r="B4" s="3">
        <v>0.7472309069335461</v>
      </c>
    </row>
    <row r="5" spans="1:2" x14ac:dyDescent="0.35">
      <c r="A5" s="2" t="s">
        <v>21</v>
      </c>
      <c r="B5" s="3">
        <v>7.5392786076836443E-2</v>
      </c>
    </row>
    <row r="6" spans="1:2" x14ac:dyDescent="0.35">
      <c r="A6" s="2" t="s">
        <v>22</v>
      </c>
      <c r="B6" s="3">
        <v>0.68147463917732243</v>
      </c>
    </row>
    <row r="7" spans="1:2" x14ac:dyDescent="0.35">
      <c r="A7" s="2" t="s">
        <v>23</v>
      </c>
      <c r="B7" s="3">
        <v>1.000000027418136</v>
      </c>
    </row>
    <row r="8" spans="1:2" x14ac:dyDescent="0.35">
      <c r="A8" s="2" t="s">
        <v>24</v>
      </c>
      <c r="B8" s="3">
        <v>3.4876723276717307E-2</v>
      </c>
    </row>
    <row r="9" spans="1:2" x14ac:dyDescent="0.35">
      <c r="A9" s="2" t="s">
        <v>25</v>
      </c>
      <c r="B9" s="3">
        <v>2.0173307003516572E-3</v>
      </c>
    </row>
    <row r="10" spans="1:2" x14ac:dyDescent="0.35">
      <c r="A10" s="2" t="s">
        <v>26</v>
      </c>
      <c r="B10" s="3">
        <v>4.4914704722970822E-2</v>
      </c>
    </row>
    <row r="11" spans="1:2" x14ac:dyDescent="0.35">
      <c r="A11" s="2" t="s">
        <v>27</v>
      </c>
      <c r="B11" s="3">
        <v>0.63718105832317884</v>
      </c>
    </row>
    <row r="12" spans="1:2" x14ac:dyDescent="0.35">
      <c r="A12" s="2" t="s">
        <v>28</v>
      </c>
      <c r="B12" s="3">
        <v>0.8571428571428571</v>
      </c>
    </row>
    <row r="13" spans="1:2" x14ac:dyDescent="0.35">
      <c r="A13" s="2" t="s">
        <v>29</v>
      </c>
      <c r="B13" s="3">
        <v>1</v>
      </c>
    </row>
    <row r="14" spans="1:2" x14ac:dyDescent="0.35">
      <c r="A14" s="2" t="s">
        <v>30</v>
      </c>
      <c r="B14" s="3">
        <v>0.84615384615384615</v>
      </c>
    </row>
    <row r="15" spans="1:2" x14ac:dyDescent="0.35">
      <c r="A15" s="2" t="s">
        <v>31</v>
      </c>
      <c r="B15" s="3">
        <v>0.91666666666666663</v>
      </c>
    </row>
  </sheetData>
  <mergeCells count="1">
    <mergeCell ref="A1:B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7265625" defaultRowHeight="14.5" x14ac:dyDescent="0.35"/>
  <cols>
    <col min="1" max="1" width="28.81640625" customWidth="1"/>
  </cols>
  <sheetData>
    <row r="1" spans="1:3" ht="18.5" x14ac:dyDescent="0.35">
      <c r="A1" s="5" t="s">
        <v>32</v>
      </c>
      <c r="B1" s="6"/>
      <c r="C1" s="6"/>
    </row>
    <row r="2" spans="1:3" ht="15.5" x14ac:dyDescent="0.35">
      <c r="A2" s="1" t="s">
        <v>33</v>
      </c>
      <c r="B2" s="1" t="s">
        <v>34</v>
      </c>
      <c r="C2" s="1" t="s">
        <v>35</v>
      </c>
    </row>
    <row r="3" spans="1:3" x14ac:dyDescent="0.35">
      <c r="A3" s="2" t="s">
        <v>36</v>
      </c>
      <c r="B3" s="3">
        <v>1</v>
      </c>
      <c r="C3" s="3">
        <v>7.1428571428571423</v>
      </c>
    </row>
    <row r="4" spans="1:3" x14ac:dyDescent="0.35">
      <c r="A4" s="2" t="s">
        <v>37</v>
      </c>
      <c r="B4" s="3">
        <v>6</v>
      </c>
      <c r="C4" s="3">
        <v>42.857142857142847</v>
      </c>
    </row>
    <row r="5" spans="1:3" x14ac:dyDescent="0.35">
      <c r="A5" s="2" t="s">
        <v>38</v>
      </c>
      <c r="B5" s="3">
        <v>7</v>
      </c>
      <c r="C5" s="3">
        <v>50</v>
      </c>
    </row>
  </sheetData>
  <mergeCells count="1">
    <mergeCell ref="A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selection activeCell="K1" sqref="K1"/>
    </sheetView>
  </sheetViews>
  <sheetFormatPr baseColWidth="10" defaultColWidth="8.7265625" defaultRowHeight="14.5" x14ac:dyDescent="0.35"/>
  <cols>
    <col min="1" max="1" width="39.6328125" customWidth="1"/>
    <col min="7" max="7" width="16.1796875" bestFit="1" customWidth="1"/>
    <col min="8" max="8" width="15.54296875" bestFit="1" customWidth="1"/>
    <col min="9" max="9" width="13.26953125" bestFit="1" customWidth="1"/>
  </cols>
  <sheetData>
    <row r="1" spans="1:10" ht="18.5" x14ac:dyDescent="0.35">
      <c r="A1" s="5" t="s">
        <v>39</v>
      </c>
      <c r="B1" s="6"/>
      <c r="C1" s="6"/>
      <c r="D1" s="6"/>
      <c r="E1" s="6"/>
      <c r="F1" s="6"/>
      <c r="G1" s="6"/>
      <c r="H1" s="6"/>
      <c r="I1" s="6"/>
      <c r="J1" s="6"/>
    </row>
    <row r="2" spans="1:10" ht="15.5" x14ac:dyDescent="0.3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</row>
    <row r="3" spans="1:10" x14ac:dyDescent="0.35">
      <c r="A3" s="2" t="s">
        <v>50</v>
      </c>
      <c r="B3" s="3">
        <v>19</v>
      </c>
      <c r="C3" s="3">
        <v>20</v>
      </c>
      <c r="D3" s="3">
        <v>0.68509304702281959</v>
      </c>
      <c r="E3" s="3">
        <v>0.76250000000000007</v>
      </c>
      <c r="F3" s="4">
        <v>7.7406952977180477E-2</v>
      </c>
      <c r="G3" s="2" t="s">
        <v>51</v>
      </c>
      <c r="H3" s="2" t="s">
        <v>52</v>
      </c>
      <c r="I3" s="2" t="s">
        <v>53</v>
      </c>
      <c r="J3" s="2" t="s">
        <v>54</v>
      </c>
    </row>
    <row r="4" spans="1:10" x14ac:dyDescent="0.35">
      <c r="A4" s="2" t="s">
        <v>55</v>
      </c>
      <c r="B4" s="3">
        <v>23</v>
      </c>
      <c r="C4" s="3">
        <v>24</v>
      </c>
      <c r="D4" s="3">
        <v>0.75970676183700558</v>
      </c>
      <c r="E4" s="3">
        <v>0.78250000000000008</v>
      </c>
      <c r="F4" s="4">
        <v>2.27932381629945E-2</v>
      </c>
      <c r="G4" s="2" t="s">
        <v>52</v>
      </c>
      <c r="H4" s="2" t="s">
        <v>52</v>
      </c>
      <c r="I4" s="2" t="s">
        <v>56</v>
      </c>
      <c r="J4" s="2" t="s">
        <v>57</v>
      </c>
    </row>
    <row r="5" spans="1:10" x14ac:dyDescent="0.35">
      <c r="A5" s="2" t="s">
        <v>58</v>
      </c>
      <c r="B5" s="3">
        <v>100</v>
      </c>
      <c r="C5" s="3">
        <v>101</v>
      </c>
      <c r="D5" s="3">
        <v>1.000000027418136</v>
      </c>
      <c r="E5" s="3">
        <v>1</v>
      </c>
      <c r="F5" s="4">
        <v>2.7418136427925791E-8</v>
      </c>
      <c r="G5" s="2" t="s">
        <v>52</v>
      </c>
      <c r="H5" s="2" t="s">
        <v>52</v>
      </c>
      <c r="I5" s="2" t="s">
        <v>56</v>
      </c>
      <c r="J5" s="2" t="s">
        <v>57</v>
      </c>
    </row>
    <row r="6" spans="1:10" x14ac:dyDescent="0.35">
      <c r="A6" s="2" t="s">
        <v>59</v>
      </c>
      <c r="B6" s="3">
        <v>21</v>
      </c>
      <c r="C6" s="3">
        <v>22</v>
      </c>
      <c r="D6" s="3">
        <v>0.68147463917732243</v>
      </c>
      <c r="E6" s="3">
        <v>0.78</v>
      </c>
      <c r="F6" s="4">
        <v>9.8525360822677599E-2</v>
      </c>
      <c r="G6" s="2" t="s">
        <v>51</v>
      </c>
      <c r="H6" s="2" t="s">
        <v>52</v>
      </c>
      <c r="I6" s="2" t="s">
        <v>53</v>
      </c>
      <c r="J6" s="2" t="s">
        <v>54</v>
      </c>
    </row>
    <row r="7" spans="1:10" x14ac:dyDescent="0.35">
      <c r="A7" s="2" t="s">
        <v>60</v>
      </c>
      <c r="B7" s="3">
        <v>5</v>
      </c>
      <c r="C7" s="3">
        <v>6</v>
      </c>
      <c r="D7" s="3">
        <v>0.75292744398117062</v>
      </c>
      <c r="E7" s="3">
        <v>0.79549999999999998</v>
      </c>
      <c r="F7" s="4">
        <v>4.2572556018829373E-2</v>
      </c>
      <c r="G7" s="2" t="s">
        <v>52</v>
      </c>
      <c r="H7" s="2" t="s">
        <v>52</v>
      </c>
      <c r="I7" s="2" t="s">
        <v>56</v>
      </c>
      <c r="J7" s="2" t="s">
        <v>57</v>
      </c>
    </row>
    <row r="8" spans="1:10" x14ac:dyDescent="0.35">
      <c r="A8" s="2" t="s">
        <v>61</v>
      </c>
      <c r="B8" s="3">
        <v>25</v>
      </c>
      <c r="C8" s="3">
        <v>26</v>
      </c>
      <c r="D8" s="3">
        <v>0.77654744505882256</v>
      </c>
      <c r="E8" s="3">
        <v>0.71499999999999997</v>
      </c>
      <c r="F8" s="4">
        <v>6.1547445058822592E-2</v>
      </c>
      <c r="G8" s="2" t="s">
        <v>52</v>
      </c>
      <c r="H8" s="2" t="s">
        <v>52</v>
      </c>
      <c r="I8" s="2" t="s">
        <v>56</v>
      </c>
      <c r="J8" s="2" t="s">
        <v>57</v>
      </c>
    </row>
    <row r="9" spans="1:10" x14ac:dyDescent="0.35">
      <c r="A9" s="2" t="s">
        <v>62</v>
      </c>
      <c r="B9" s="3">
        <v>1</v>
      </c>
      <c r="C9" s="3">
        <v>2</v>
      </c>
      <c r="D9" s="3">
        <v>0.74033935010433194</v>
      </c>
      <c r="E9" s="3">
        <v>0.78500000000000003</v>
      </c>
      <c r="F9" s="4">
        <v>4.4660649895668092E-2</v>
      </c>
      <c r="G9" s="2" t="s">
        <v>52</v>
      </c>
      <c r="H9" s="2" t="s">
        <v>52</v>
      </c>
      <c r="I9" s="2" t="s">
        <v>56</v>
      </c>
      <c r="J9" s="2" t="s">
        <v>57</v>
      </c>
    </row>
    <row r="10" spans="1:10" x14ac:dyDescent="0.35">
      <c r="A10" s="2" t="s">
        <v>63</v>
      </c>
      <c r="B10" s="3">
        <v>3</v>
      </c>
      <c r="C10" s="3">
        <v>4</v>
      </c>
      <c r="D10" s="3">
        <v>0.75246476262807849</v>
      </c>
      <c r="E10" s="3">
        <v>0.755</v>
      </c>
      <c r="F10" s="4">
        <v>2.5352373719215171E-3</v>
      </c>
      <c r="G10" s="2" t="s">
        <v>52</v>
      </c>
      <c r="H10" s="2" t="s">
        <v>52</v>
      </c>
      <c r="I10" s="2" t="s">
        <v>56</v>
      </c>
      <c r="J10" s="2" t="s">
        <v>57</v>
      </c>
    </row>
    <row r="11" spans="1:10" x14ac:dyDescent="0.35">
      <c r="A11" s="2" t="s">
        <v>64</v>
      </c>
      <c r="B11" s="3">
        <v>13</v>
      </c>
      <c r="C11" s="3">
        <v>14</v>
      </c>
      <c r="D11" s="3">
        <v>0.80050379097461699</v>
      </c>
      <c r="E11" s="3">
        <v>0.75900000000000001</v>
      </c>
      <c r="F11" s="4">
        <v>4.1503790974616983E-2</v>
      </c>
      <c r="G11" s="2" t="s">
        <v>52</v>
      </c>
      <c r="H11" s="2" t="s">
        <v>52</v>
      </c>
      <c r="I11" s="2" t="s">
        <v>56</v>
      </c>
      <c r="J11" s="2" t="s">
        <v>57</v>
      </c>
    </row>
    <row r="12" spans="1:10" x14ac:dyDescent="0.35">
      <c r="A12" s="2" t="s">
        <v>65</v>
      </c>
      <c r="B12" s="3">
        <v>9</v>
      </c>
      <c r="C12" s="3">
        <v>10</v>
      </c>
      <c r="D12" s="3">
        <v>0.68647099554538726</v>
      </c>
      <c r="E12" s="3">
        <v>0.64749999999999996</v>
      </c>
      <c r="F12" s="4">
        <v>3.8970995545387299E-2</v>
      </c>
      <c r="G12" s="2" t="s">
        <v>51</v>
      </c>
      <c r="H12" s="2" t="s">
        <v>51</v>
      </c>
      <c r="I12" s="2" t="s">
        <v>56</v>
      </c>
      <c r="J12" s="2" t="s">
        <v>57</v>
      </c>
    </row>
    <row r="13" spans="1:10" x14ac:dyDescent="0.35">
      <c r="A13" s="2" t="s">
        <v>66</v>
      </c>
      <c r="B13" s="3">
        <v>11</v>
      </c>
      <c r="C13" s="3">
        <v>12</v>
      </c>
      <c r="D13" s="3">
        <v>0.76516832530498502</v>
      </c>
      <c r="E13" s="3">
        <v>0.77749999999999997</v>
      </c>
      <c r="F13" s="4">
        <v>1.2331674695014949E-2</v>
      </c>
      <c r="G13" s="2" t="s">
        <v>52</v>
      </c>
      <c r="H13" s="2" t="s">
        <v>52</v>
      </c>
      <c r="I13" s="2" t="s">
        <v>56</v>
      </c>
      <c r="J13" s="2" t="s">
        <v>57</v>
      </c>
    </row>
    <row r="14" spans="1:10" x14ac:dyDescent="0.35">
      <c r="A14" s="2" t="s">
        <v>67</v>
      </c>
      <c r="B14" s="3">
        <v>7</v>
      </c>
      <c r="C14" s="3">
        <v>8</v>
      </c>
      <c r="D14" s="3">
        <v>0.71983874142169957</v>
      </c>
      <c r="E14" s="3">
        <v>0.73749999999999993</v>
      </c>
      <c r="F14" s="4">
        <v>1.7661258578300369E-2</v>
      </c>
      <c r="G14" s="2" t="s">
        <v>52</v>
      </c>
      <c r="H14" s="2" t="s">
        <v>52</v>
      </c>
      <c r="I14" s="2" t="s">
        <v>56</v>
      </c>
      <c r="J14" s="2" t="s">
        <v>57</v>
      </c>
    </row>
    <row r="15" spans="1:10" x14ac:dyDescent="0.35">
      <c r="A15" s="2" t="s">
        <v>68</v>
      </c>
      <c r="B15" s="3">
        <v>17</v>
      </c>
      <c r="C15" s="3">
        <v>18</v>
      </c>
      <c r="D15" s="3">
        <v>0.73676198959350581</v>
      </c>
      <c r="E15" s="3">
        <v>0.70999999999999985</v>
      </c>
      <c r="F15" s="4">
        <v>2.6761989593505949E-2</v>
      </c>
      <c r="G15" s="2" t="s">
        <v>52</v>
      </c>
      <c r="H15" s="2" t="s">
        <v>52</v>
      </c>
      <c r="I15" s="2" t="s">
        <v>56</v>
      </c>
      <c r="J15" s="2" t="s">
        <v>57</v>
      </c>
    </row>
    <row r="16" spans="1:10" x14ac:dyDescent="0.35">
      <c r="A16" s="2" t="s">
        <v>69</v>
      </c>
      <c r="B16" s="3">
        <v>15</v>
      </c>
      <c r="C16" s="3">
        <v>16</v>
      </c>
      <c r="D16" s="3">
        <v>0.74199705123901372</v>
      </c>
      <c r="E16" s="3">
        <v>0.74299999999999999</v>
      </c>
      <c r="F16" s="4">
        <v>1.0029487609862771E-3</v>
      </c>
      <c r="G16" s="2" t="s">
        <v>52</v>
      </c>
      <c r="H16" s="2" t="s">
        <v>52</v>
      </c>
      <c r="I16" s="2" t="s">
        <v>56</v>
      </c>
      <c r="J16" s="2" t="s">
        <v>57</v>
      </c>
    </row>
    <row r="18" spans="1:1" x14ac:dyDescent="0.35">
      <c r="A18" t="s">
        <v>70</v>
      </c>
    </row>
    <row r="19" spans="1:1" x14ac:dyDescent="0.35">
      <c r="A19" t="s">
        <v>16</v>
      </c>
    </row>
    <row r="20" spans="1:1" x14ac:dyDescent="0.35">
      <c r="A20" t="s">
        <v>71</v>
      </c>
    </row>
    <row r="21" spans="1:1" x14ac:dyDescent="0.35">
      <c r="A21" t="s">
        <v>72</v>
      </c>
    </row>
  </sheetData>
  <mergeCells count="1">
    <mergeCell ref="A1:J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tabSelected="1" workbookViewId="0">
      <selection sqref="A1:B1"/>
    </sheetView>
  </sheetViews>
  <sheetFormatPr baseColWidth="10" defaultColWidth="8.7265625" defaultRowHeight="14.5" x14ac:dyDescent="0.35"/>
  <cols>
    <col min="1" max="1" width="25.1796875" customWidth="1"/>
  </cols>
  <sheetData>
    <row r="1" spans="1:2" ht="18.5" x14ac:dyDescent="0.35">
      <c r="A1" s="5" t="s">
        <v>73</v>
      </c>
      <c r="B1" s="6"/>
    </row>
    <row r="2" spans="1:2" ht="15.5" x14ac:dyDescent="0.35">
      <c r="A2" s="1" t="s">
        <v>74</v>
      </c>
      <c r="B2" s="1" t="s">
        <v>75</v>
      </c>
    </row>
    <row r="3" spans="1:2" x14ac:dyDescent="0.35">
      <c r="A3" s="3">
        <v>1</v>
      </c>
      <c r="B3" s="3">
        <v>0</v>
      </c>
    </row>
    <row r="4" spans="1:2" x14ac:dyDescent="0.35">
      <c r="A4" s="3">
        <v>2</v>
      </c>
      <c r="B4" s="3">
        <v>11</v>
      </c>
    </row>
    <row r="6" spans="1:2" x14ac:dyDescent="0.35">
      <c r="A6" t="s">
        <v>76</v>
      </c>
    </row>
    <row r="7" spans="1:2" x14ac:dyDescent="0.35">
      <c r="A7" t="s">
        <v>16</v>
      </c>
    </row>
  </sheetData>
  <mergeCells count="1">
    <mergeCell ref="A1:B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>
      <selection sqref="A1:D1"/>
    </sheetView>
  </sheetViews>
  <sheetFormatPr baseColWidth="10" defaultColWidth="8.7265625" defaultRowHeight="14.5" x14ac:dyDescent="0.35"/>
  <cols>
    <col min="1" max="1" width="27.6328125" customWidth="1"/>
  </cols>
  <sheetData>
    <row r="1" spans="1:4" ht="18.5" x14ac:dyDescent="0.35">
      <c r="A1" s="5" t="s">
        <v>77</v>
      </c>
      <c r="B1" s="6"/>
      <c r="C1" s="6"/>
      <c r="D1" s="6"/>
    </row>
    <row r="2" spans="1:4" ht="15.5" x14ac:dyDescent="0.35">
      <c r="A2" s="1" t="s">
        <v>78</v>
      </c>
      <c r="B2" s="1" t="s">
        <v>79</v>
      </c>
      <c r="C2" s="1" t="s">
        <v>80</v>
      </c>
      <c r="D2" s="1" t="s">
        <v>81</v>
      </c>
    </row>
    <row r="3" spans="1:4" x14ac:dyDescent="0.35">
      <c r="A3" s="3">
        <v>0.33333333333333331</v>
      </c>
      <c r="B3" s="3">
        <v>1</v>
      </c>
      <c r="C3" s="3">
        <v>0.5</v>
      </c>
      <c r="D3" s="3">
        <v>1</v>
      </c>
    </row>
    <row r="4" spans="1:4" x14ac:dyDescent="0.35">
      <c r="A4" s="3">
        <v>1</v>
      </c>
      <c r="B4" s="3">
        <v>0.84615384615384615</v>
      </c>
      <c r="C4" s="3">
        <v>0.91666666666666663</v>
      </c>
      <c r="D4" s="3">
        <v>13</v>
      </c>
    </row>
    <row r="5" spans="1:4" x14ac:dyDescent="0.35">
      <c r="A5" s="3">
        <v>0.8571428571428571</v>
      </c>
      <c r="B5" s="3">
        <v>0.8571428571428571</v>
      </c>
      <c r="C5" s="3">
        <v>0.8571428571428571</v>
      </c>
      <c r="D5" s="3">
        <v>0.8571428571428571</v>
      </c>
    </row>
    <row r="6" spans="1:4" x14ac:dyDescent="0.35">
      <c r="A6" s="3">
        <v>0.66666666666666663</v>
      </c>
      <c r="B6" s="3">
        <v>0.92307692307692313</v>
      </c>
      <c r="C6" s="3">
        <v>0.70833333333333326</v>
      </c>
      <c r="D6" s="3">
        <v>14</v>
      </c>
    </row>
    <row r="7" spans="1:4" x14ac:dyDescent="0.35">
      <c r="A7" s="3">
        <v>0.95238095238095244</v>
      </c>
      <c r="B7" s="3">
        <v>0.8571428571428571</v>
      </c>
      <c r="C7" s="3">
        <v>0.88690476190476186</v>
      </c>
      <c r="D7" s="3">
        <v>14</v>
      </c>
    </row>
    <row r="9" spans="1:4" x14ac:dyDescent="0.35">
      <c r="A9" t="s">
        <v>82</v>
      </c>
    </row>
    <row r="10" spans="1:4" x14ac:dyDescent="0.35">
      <c r="A10" t="s">
        <v>83</v>
      </c>
    </row>
    <row r="11" spans="1:4" x14ac:dyDescent="0.35">
      <c r="A11" t="s">
        <v>84</v>
      </c>
    </row>
    <row r="12" spans="1:4" x14ac:dyDescent="0.35">
      <c r="A12" t="s">
        <v>85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"/>
  <sheetViews>
    <sheetView workbookViewId="0"/>
  </sheetViews>
  <sheetFormatPr baseColWidth="10" defaultColWidth="8.7265625" defaultRowHeight="14.5" x14ac:dyDescent="0.35"/>
  <cols>
    <col min="1" max="1" width="36" customWidth="1"/>
  </cols>
  <sheetData>
    <row r="1" spans="1:12" ht="18.5" x14ac:dyDescent="0.35">
      <c r="A1" s="5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5" x14ac:dyDescent="0.35">
      <c r="A2" s="1" t="s">
        <v>40</v>
      </c>
      <c r="B2" s="1" t="s">
        <v>41</v>
      </c>
      <c r="C2" s="1" t="s">
        <v>42</v>
      </c>
      <c r="D2" s="1" t="s">
        <v>49</v>
      </c>
      <c r="E2" s="1" t="s">
        <v>43</v>
      </c>
      <c r="F2" s="1" t="s">
        <v>44</v>
      </c>
      <c r="G2" s="1" t="s">
        <v>87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92</v>
      </c>
    </row>
    <row r="3" spans="1:12" x14ac:dyDescent="0.35">
      <c r="A3" s="2" t="s">
        <v>50</v>
      </c>
      <c r="B3" s="3">
        <v>19</v>
      </c>
      <c r="C3" s="3">
        <v>20</v>
      </c>
      <c r="D3" s="2" t="s">
        <v>54</v>
      </c>
      <c r="E3" s="3">
        <v>0.68509304702281959</v>
      </c>
      <c r="F3" s="3">
        <v>0.76250000000000007</v>
      </c>
      <c r="G3" s="4">
        <v>7.7406952977180477E-2</v>
      </c>
      <c r="H3" s="3">
        <v>3.8566648960113532E-2</v>
      </c>
      <c r="I3" s="3">
        <v>0.14402710199356081</v>
      </c>
      <c r="J3" s="3">
        <v>0.1556911766529083</v>
      </c>
      <c r="K3" s="3">
        <v>0.2249341011047363</v>
      </c>
      <c r="L3" s="2" t="s">
        <v>93</v>
      </c>
    </row>
    <row r="4" spans="1:12" x14ac:dyDescent="0.35">
      <c r="A4" s="2" t="s">
        <v>59</v>
      </c>
      <c r="B4" s="3">
        <v>21</v>
      </c>
      <c r="C4" s="3">
        <v>22</v>
      </c>
      <c r="D4" s="2" t="s">
        <v>54</v>
      </c>
      <c r="E4" s="3">
        <v>0.68147463917732243</v>
      </c>
      <c r="F4" s="3">
        <v>0.78</v>
      </c>
      <c r="G4" s="4">
        <v>9.8525360822677599E-2</v>
      </c>
      <c r="H4" s="3">
        <v>0.13298397064208989</v>
      </c>
      <c r="I4" s="3">
        <v>2.4948656558990479E-2</v>
      </c>
      <c r="J4" s="3">
        <v>0.14165613651275641</v>
      </c>
      <c r="K4" s="3">
        <v>0.34438896179199219</v>
      </c>
      <c r="L4" s="2" t="s">
        <v>93</v>
      </c>
    </row>
    <row r="6" spans="1:12" x14ac:dyDescent="0.35">
      <c r="A6" t="s">
        <v>94</v>
      </c>
    </row>
    <row r="7" spans="1:12" x14ac:dyDescent="0.35">
      <c r="A7" t="s">
        <v>95</v>
      </c>
    </row>
    <row r="8" spans="1:12" x14ac:dyDescent="0.35">
      <c r="A8" t="s">
        <v>96</v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baseColWidth="10" defaultColWidth="8.7265625" defaultRowHeight="14.5" x14ac:dyDescent="0.35"/>
  <cols>
    <col min="1" max="1" width="20.36328125" customWidth="1"/>
  </cols>
  <sheetData>
    <row r="1" spans="1:3" ht="18.5" x14ac:dyDescent="0.35">
      <c r="A1" s="5" t="s">
        <v>97</v>
      </c>
      <c r="B1" s="6"/>
      <c r="C1" s="6"/>
    </row>
    <row r="2" spans="1:3" ht="15.5" x14ac:dyDescent="0.35">
      <c r="A2" s="1" t="s">
        <v>49</v>
      </c>
      <c r="B2" s="1" t="s">
        <v>98</v>
      </c>
      <c r="C2" s="1" t="s">
        <v>35</v>
      </c>
    </row>
    <row r="3" spans="1:3" x14ac:dyDescent="0.35">
      <c r="A3" s="2" t="s">
        <v>99</v>
      </c>
      <c r="B3" s="3">
        <v>0</v>
      </c>
      <c r="C3" s="3">
        <v>0</v>
      </c>
    </row>
    <row r="4" spans="1:3" x14ac:dyDescent="0.35">
      <c r="A4" s="2" t="s">
        <v>54</v>
      </c>
      <c r="B4" s="3">
        <v>2</v>
      </c>
      <c r="C4" s="3">
        <v>100</v>
      </c>
    </row>
    <row r="5" spans="1:3" x14ac:dyDescent="0.35">
      <c r="A5" s="2" t="s">
        <v>100</v>
      </c>
      <c r="B5" s="3">
        <v>2</v>
      </c>
      <c r="C5" s="3">
        <v>100</v>
      </c>
    </row>
  </sheetData>
  <mergeCells count="1">
    <mergeCell ref="A1:C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/>
  </sheetViews>
  <sheetFormatPr baseColWidth="10" defaultColWidth="8.7265625" defaultRowHeight="14.5" x14ac:dyDescent="0.35"/>
  <cols>
    <col min="1" max="1" width="27.6328125" customWidth="1"/>
  </cols>
  <sheetData>
    <row r="1" spans="1:3" ht="18.5" x14ac:dyDescent="0.35">
      <c r="A1" s="5" t="s">
        <v>101</v>
      </c>
      <c r="B1" s="6"/>
      <c r="C1" s="6"/>
    </row>
    <row r="2" spans="1:3" ht="15.5" x14ac:dyDescent="0.35">
      <c r="A2" s="1" t="s">
        <v>102</v>
      </c>
      <c r="B2" s="1" t="s">
        <v>103</v>
      </c>
      <c r="C2" s="1" t="s">
        <v>35</v>
      </c>
    </row>
    <row r="3" spans="1:3" x14ac:dyDescent="0.35">
      <c r="A3" s="2" t="s">
        <v>93</v>
      </c>
      <c r="B3" s="3">
        <v>2</v>
      </c>
      <c r="C3" s="3">
        <v>100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workbookViewId="0"/>
  </sheetViews>
  <sheetFormatPr baseColWidth="10" defaultColWidth="8.7265625" defaultRowHeight="14.5" x14ac:dyDescent="0.35"/>
  <cols>
    <col min="1" max="1" width="39.6328125" customWidth="1"/>
  </cols>
  <sheetData>
    <row r="1" spans="1:6" ht="18.5" x14ac:dyDescent="0.35">
      <c r="A1" s="5" t="s">
        <v>104</v>
      </c>
      <c r="B1" s="6"/>
      <c r="C1" s="6"/>
      <c r="D1" s="6"/>
      <c r="E1" s="6"/>
      <c r="F1" s="6"/>
    </row>
    <row r="2" spans="1:6" ht="15.5" x14ac:dyDescent="0.35">
      <c r="A2" s="1" t="s">
        <v>40</v>
      </c>
      <c r="B2" s="1" t="s">
        <v>105</v>
      </c>
      <c r="C2" s="1" t="s">
        <v>106</v>
      </c>
      <c r="D2" s="1" t="s">
        <v>107</v>
      </c>
      <c r="E2" s="1" t="s">
        <v>108</v>
      </c>
      <c r="F2" s="1" t="s">
        <v>109</v>
      </c>
    </row>
    <row r="3" spans="1:6" x14ac:dyDescent="0.35">
      <c r="A3" s="2" t="s">
        <v>50</v>
      </c>
      <c r="B3" s="3">
        <v>1</v>
      </c>
      <c r="C3" s="3">
        <v>2.595370769500732</v>
      </c>
      <c r="D3" s="3">
        <v>0.68509304702281959</v>
      </c>
      <c r="E3" s="3">
        <v>1</v>
      </c>
      <c r="F3" s="3">
        <v>0.92804513378079856</v>
      </c>
    </row>
    <row r="4" spans="1:6" x14ac:dyDescent="0.35">
      <c r="A4" s="2" t="s">
        <v>55</v>
      </c>
      <c r="B4" s="3">
        <v>1</v>
      </c>
      <c r="C4" s="3">
        <v>2.600854873657227</v>
      </c>
      <c r="D4" s="3">
        <v>0.75970676183700558</v>
      </c>
      <c r="E4" s="3">
        <v>1</v>
      </c>
      <c r="F4" s="3">
        <v>0.95026059723729361</v>
      </c>
    </row>
    <row r="5" spans="1:6" x14ac:dyDescent="0.35">
      <c r="A5" s="2" t="s">
        <v>58</v>
      </c>
      <c r="B5" s="3">
        <v>1</v>
      </c>
      <c r="C5" s="3">
        <v>2.6018660068511958</v>
      </c>
      <c r="D5" s="3">
        <v>1.000000027418136</v>
      </c>
      <c r="E5" s="3">
        <v>1</v>
      </c>
      <c r="F5" s="3">
        <v>0.99999993672706555</v>
      </c>
    </row>
    <row r="6" spans="1:6" x14ac:dyDescent="0.35">
      <c r="A6" s="2" t="s">
        <v>59</v>
      </c>
      <c r="B6" s="3">
        <v>1</v>
      </c>
      <c r="C6" s="3">
        <v>2.6008567810058589</v>
      </c>
      <c r="D6" s="3">
        <v>0.68147463917732243</v>
      </c>
      <c r="E6" s="3">
        <v>1</v>
      </c>
      <c r="F6" s="3">
        <v>0.92245274505299124</v>
      </c>
    </row>
    <row r="7" spans="1:6" x14ac:dyDescent="0.35">
      <c r="A7" s="2" t="s">
        <v>60</v>
      </c>
      <c r="B7" s="3">
        <v>1</v>
      </c>
      <c r="C7" s="3">
        <v>3.8211498260498051</v>
      </c>
      <c r="D7" s="3">
        <v>0.75292744398117062</v>
      </c>
      <c r="E7" s="3">
        <v>1</v>
      </c>
      <c r="F7" s="3">
        <v>0.94548490063984159</v>
      </c>
    </row>
    <row r="8" spans="1:6" x14ac:dyDescent="0.35">
      <c r="A8" s="2" t="s">
        <v>61</v>
      </c>
      <c r="B8" s="3">
        <v>1</v>
      </c>
      <c r="C8" s="3">
        <v>3.9967186450958252</v>
      </c>
      <c r="D8" s="3">
        <v>0.77654744505882256</v>
      </c>
      <c r="E8" s="3">
        <v>0.75</v>
      </c>
      <c r="F8" s="3">
        <v>0.97323653638405838</v>
      </c>
    </row>
    <row r="9" spans="1:6" x14ac:dyDescent="0.35">
      <c r="A9" s="2" t="s">
        <v>62</v>
      </c>
      <c r="B9" s="3">
        <v>1</v>
      </c>
      <c r="C9" s="3">
        <v>4.0274679660797119</v>
      </c>
      <c r="D9" s="3">
        <v>0.74033935010433194</v>
      </c>
      <c r="E9" s="3">
        <v>1</v>
      </c>
      <c r="F9" s="3">
        <v>0.96951785619506203</v>
      </c>
    </row>
    <row r="10" spans="1:6" x14ac:dyDescent="0.35">
      <c r="A10" s="2" t="s">
        <v>63</v>
      </c>
      <c r="B10" s="3">
        <v>1</v>
      </c>
      <c r="C10" s="3">
        <v>4.0721776485443124</v>
      </c>
      <c r="D10" s="3">
        <v>0.75246476262807849</v>
      </c>
      <c r="E10" s="3">
        <v>1</v>
      </c>
      <c r="F10" s="3">
        <v>0.92829779530848466</v>
      </c>
    </row>
    <row r="11" spans="1:6" x14ac:dyDescent="0.35">
      <c r="A11" s="2" t="s">
        <v>64</v>
      </c>
      <c r="B11" s="3">
        <v>1</v>
      </c>
      <c r="C11" s="3">
        <v>3.8675799369812012</v>
      </c>
      <c r="D11" s="3">
        <v>0.80050379097461699</v>
      </c>
      <c r="E11" s="3">
        <v>0.75</v>
      </c>
      <c r="F11" s="3">
        <v>0.93549767296892161</v>
      </c>
    </row>
    <row r="12" spans="1:6" x14ac:dyDescent="0.35">
      <c r="A12" s="2" t="s">
        <v>65</v>
      </c>
      <c r="B12" s="3">
        <v>1</v>
      </c>
      <c r="C12" s="3">
        <v>4.0175836086273193</v>
      </c>
      <c r="D12" s="3">
        <v>0.68647099554538726</v>
      </c>
      <c r="E12" s="3">
        <v>1</v>
      </c>
      <c r="F12" s="3">
        <v>0.95844342781054226</v>
      </c>
    </row>
    <row r="13" spans="1:6" x14ac:dyDescent="0.35">
      <c r="A13" s="2" t="s">
        <v>66</v>
      </c>
      <c r="B13" s="3">
        <v>1</v>
      </c>
      <c r="C13" s="3">
        <v>3.987694263458252</v>
      </c>
      <c r="D13" s="3">
        <v>0.76516832530498502</v>
      </c>
      <c r="E13" s="3">
        <v>1</v>
      </c>
      <c r="F13" s="3">
        <v>0.92668816443314339</v>
      </c>
    </row>
    <row r="14" spans="1:6" x14ac:dyDescent="0.35">
      <c r="A14" s="2" t="s">
        <v>67</v>
      </c>
      <c r="B14" s="3">
        <v>1</v>
      </c>
      <c r="C14" s="3">
        <v>4.3103392124176034</v>
      </c>
      <c r="D14" s="3">
        <v>0.71983874142169957</v>
      </c>
      <c r="E14" s="3">
        <v>1</v>
      </c>
      <c r="F14" s="3">
        <v>0.90114483264887002</v>
      </c>
    </row>
    <row r="15" spans="1:6" x14ac:dyDescent="0.35">
      <c r="A15" s="2" t="s">
        <v>68</v>
      </c>
      <c r="B15" s="3">
        <v>1</v>
      </c>
      <c r="C15" s="3">
        <v>2.238385677337646</v>
      </c>
      <c r="D15" s="3">
        <v>0.73676198959350581</v>
      </c>
      <c r="E15" s="3">
        <v>1</v>
      </c>
      <c r="F15" s="3">
        <v>0.93800639463781632</v>
      </c>
    </row>
    <row r="16" spans="1:6" x14ac:dyDescent="0.35">
      <c r="A16" s="2" t="s">
        <v>69</v>
      </c>
      <c r="B16" s="3">
        <v>1</v>
      </c>
      <c r="C16" s="3">
        <v>2.296442031860352</v>
      </c>
      <c r="D16" s="3">
        <v>0.74199705123901372</v>
      </c>
      <c r="E16" s="3">
        <v>0.75</v>
      </c>
      <c r="F16" s="3">
        <v>0.93286910756294672</v>
      </c>
    </row>
  </sheetData>
  <mergeCells count="1">
    <mergeCell ref="A1:F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8"/>
  <sheetViews>
    <sheetView workbookViewId="0"/>
  </sheetViews>
  <sheetFormatPr baseColWidth="10" defaultColWidth="8.7265625" defaultRowHeight="14.5" x14ac:dyDescent="0.35"/>
  <cols>
    <col min="1" max="1" width="39.6328125" customWidth="1"/>
  </cols>
  <sheetData>
    <row r="1" spans="1:12" ht="18.5" x14ac:dyDescent="0.35">
      <c r="A1" s="5" t="s">
        <v>110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5" x14ac:dyDescent="0.35">
      <c r="A2" s="1" t="s">
        <v>40</v>
      </c>
      <c r="B2" s="1" t="s">
        <v>41</v>
      </c>
      <c r="C2" s="1" t="s">
        <v>42</v>
      </c>
      <c r="D2" s="1" t="s">
        <v>111</v>
      </c>
      <c r="E2" s="1" t="s">
        <v>112</v>
      </c>
      <c r="F2" s="1" t="s">
        <v>113</v>
      </c>
      <c r="G2" s="1" t="s">
        <v>114</v>
      </c>
      <c r="H2" s="1" t="s">
        <v>115</v>
      </c>
      <c r="I2" s="1" t="s">
        <v>116</v>
      </c>
      <c r="J2" s="1" t="s">
        <v>117</v>
      </c>
      <c r="K2" s="1" t="s">
        <v>118</v>
      </c>
      <c r="L2" s="1" t="s">
        <v>119</v>
      </c>
    </row>
    <row r="3" spans="1:12" x14ac:dyDescent="0.35">
      <c r="A3" s="2" t="s">
        <v>50</v>
      </c>
      <c r="B3" s="3">
        <v>19</v>
      </c>
      <c r="C3" s="3">
        <v>20</v>
      </c>
      <c r="D3" s="3">
        <v>0.71143335103988647</v>
      </c>
      <c r="E3" s="3">
        <v>0.84402710199356079</v>
      </c>
      <c r="F3" s="3">
        <v>0.64430882334709172</v>
      </c>
      <c r="G3" s="3">
        <v>0.72493410110473633</v>
      </c>
      <c r="H3" s="3">
        <v>0.68509304702281959</v>
      </c>
      <c r="I3" s="2" t="s">
        <v>53</v>
      </c>
      <c r="J3" s="3">
        <v>0.76250000000000007</v>
      </c>
      <c r="K3" s="3">
        <v>7.7406952977180477E-2</v>
      </c>
      <c r="L3" s="2" t="s">
        <v>53</v>
      </c>
    </row>
    <row r="4" spans="1:12" x14ac:dyDescent="0.35">
      <c r="A4" s="2" t="s">
        <v>55</v>
      </c>
      <c r="B4" s="3">
        <v>23</v>
      </c>
      <c r="C4" s="3">
        <v>24</v>
      </c>
      <c r="D4" s="3">
        <v>0.73033058643341064</v>
      </c>
      <c r="E4" s="3">
        <v>0.74509632587432861</v>
      </c>
      <c r="F4" s="3">
        <v>0.7661710023880004</v>
      </c>
      <c r="G4" s="3">
        <v>0.858237624168396</v>
      </c>
      <c r="H4" s="3">
        <v>0.75970676183700558</v>
      </c>
      <c r="I4" s="2" t="s">
        <v>56</v>
      </c>
      <c r="J4" s="3">
        <v>0.78250000000000008</v>
      </c>
      <c r="K4" s="3">
        <v>2.27932381629945E-2</v>
      </c>
      <c r="L4" s="2" t="s">
        <v>56</v>
      </c>
    </row>
    <row r="5" spans="1:12" x14ac:dyDescent="0.35">
      <c r="A5" s="2" t="s">
        <v>58</v>
      </c>
      <c r="B5" s="3">
        <v>100</v>
      </c>
      <c r="C5" s="3">
        <v>101</v>
      </c>
      <c r="D5" s="3">
        <v>1.00000011920929</v>
      </c>
      <c r="E5" s="3">
        <v>1</v>
      </c>
      <c r="F5" s="3">
        <v>0.99999998609224949</v>
      </c>
      <c r="G5" s="3">
        <v>1.00000011920929</v>
      </c>
      <c r="H5" s="3">
        <v>1.000000027418136</v>
      </c>
      <c r="I5" s="2" t="s">
        <v>56</v>
      </c>
      <c r="J5" s="3">
        <v>1</v>
      </c>
      <c r="K5" s="3">
        <v>2.7418136427925791E-8</v>
      </c>
      <c r="L5" s="2" t="s">
        <v>56</v>
      </c>
    </row>
    <row r="6" spans="1:12" x14ac:dyDescent="0.35">
      <c r="A6" s="2" t="s">
        <v>59</v>
      </c>
      <c r="B6" s="3">
        <v>21</v>
      </c>
      <c r="C6" s="3">
        <v>22</v>
      </c>
      <c r="D6" s="3">
        <v>0.66701602935791016</v>
      </c>
      <c r="E6" s="3">
        <v>0.77494865655899048</v>
      </c>
      <c r="F6" s="3">
        <v>0.65834386348724361</v>
      </c>
      <c r="G6" s="3">
        <v>0.84438896179199219</v>
      </c>
      <c r="H6" s="3">
        <v>0.68147463917732243</v>
      </c>
      <c r="I6" s="2" t="s">
        <v>53</v>
      </c>
      <c r="J6" s="3">
        <v>0.78</v>
      </c>
      <c r="K6" s="3">
        <v>9.8525360822677599E-2</v>
      </c>
      <c r="L6" s="2" t="s">
        <v>53</v>
      </c>
    </row>
    <row r="7" spans="1:12" x14ac:dyDescent="0.35">
      <c r="A7" s="2" t="s">
        <v>60</v>
      </c>
      <c r="B7" s="3">
        <v>5</v>
      </c>
      <c r="C7" s="3">
        <v>6</v>
      </c>
      <c r="D7" s="3">
        <v>0.80195152759552002</v>
      </c>
      <c r="E7" s="3">
        <v>0.79026275873184204</v>
      </c>
      <c r="F7" s="3">
        <v>0.71650513112545</v>
      </c>
      <c r="G7" s="3">
        <v>0.87020415067672729</v>
      </c>
      <c r="H7" s="3">
        <v>0.75292744398117062</v>
      </c>
      <c r="I7" s="2" t="s">
        <v>56</v>
      </c>
      <c r="J7" s="3">
        <v>0.79549999999999998</v>
      </c>
      <c r="K7" s="3">
        <v>4.2572556018829373E-2</v>
      </c>
      <c r="L7" s="2" t="s">
        <v>56</v>
      </c>
    </row>
    <row r="8" spans="1:12" x14ac:dyDescent="0.35">
      <c r="A8" s="2" t="s">
        <v>61</v>
      </c>
      <c r="B8" s="3">
        <v>25</v>
      </c>
      <c r="C8" s="3">
        <v>26</v>
      </c>
      <c r="D8" s="3">
        <v>0.74603235721588135</v>
      </c>
      <c r="E8" s="3">
        <v>0.73444849252700806</v>
      </c>
      <c r="F8" s="3">
        <v>0.79506991505622848</v>
      </c>
      <c r="G8" s="3">
        <v>0.79105114936828613</v>
      </c>
      <c r="H8" s="3">
        <v>0.77654744505882256</v>
      </c>
      <c r="I8" s="2" t="s">
        <v>56</v>
      </c>
      <c r="J8" s="3">
        <v>0.71499999999999997</v>
      </c>
      <c r="K8" s="3">
        <v>6.1547445058822592E-2</v>
      </c>
      <c r="L8" s="2" t="s">
        <v>56</v>
      </c>
    </row>
    <row r="9" spans="1:12" x14ac:dyDescent="0.35">
      <c r="A9" s="2" t="s">
        <v>62</v>
      </c>
      <c r="B9" s="3">
        <v>1</v>
      </c>
      <c r="C9" s="3">
        <v>2</v>
      </c>
      <c r="D9" s="3">
        <v>0.79246711730957031</v>
      </c>
      <c r="E9" s="3">
        <v>0.71754336357116699</v>
      </c>
      <c r="F9" s="3">
        <v>0.7210057020187377</v>
      </c>
      <c r="G9" s="3">
        <v>0.75729626417160034</v>
      </c>
      <c r="H9" s="3">
        <v>0.74033935010433194</v>
      </c>
      <c r="I9" s="2" t="s">
        <v>56</v>
      </c>
      <c r="J9" s="3">
        <v>0.78500000000000003</v>
      </c>
      <c r="K9" s="3">
        <v>4.4660649895668092E-2</v>
      </c>
      <c r="L9" s="2" t="s">
        <v>56</v>
      </c>
    </row>
    <row r="10" spans="1:12" x14ac:dyDescent="0.35">
      <c r="A10" s="2" t="s">
        <v>63</v>
      </c>
      <c r="B10" s="3">
        <v>3</v>
      </c>
      <c r="C10" s="3">
        <v>4</v>
      </c>
      <c r="D10" s="3">
        <v>0.79038083553314209</v>
      </c>
      <c r="E10" s="3">
        <v>0.71320599317550659</v>
      </c>
      <c r="F10" s="3">
        <v>0.73118032068014149</v>
      </c>
      <c r="G10" s="3">
        <v>0.89681524038314819</v>
      </c>
      <c r="H10" s="3">
        <v>0.75246476262807849</v>
      </c>
      <c r="I10" s="2" t="s">
        <v>56</v>
      </c>
      <c r="J10" s="3">
        <v>0.755</v>
      </c>
      <c r="K10" s="3">
        <v>2.5352373719215171E-3</v>
      </c>
      <c r="L10" s="2" t="s">
        <v>56</v>
      </c>
    </row>
    <row r="11" spans="1:12" x14ac:dyDescent="0.35">
      <c r="A11" s="2" t="s">
        <v>64</v>
      </c>
      <c r="B11" s="3">
        <v>13</v>
      </c>
      <c r="C11" s="3">
        <v>14</v>
      </c>
      <c r="D11" s="3">
        <v>0.91387432813644409</v>
      </c>
      <c r="E11" s="3">
        <v>0.7539750337600708</v>
      </c>
      <c r="F11" s="3">
        <v>0.76222538550694774</v>
      </c>
      <c r="G11" s="3">
        <v>0.786049485206604</v>
      </c>
      <c r="H11" s="3">
        <v>0.80050379097461699</v>
      </c>
      <c r="I11" s="2" t="s">
        <v>56</v>
      </c>
      <c r="J11" s="3">
        <v>0.75900000000000001</v>
      </c>
      <c r="K11" s="3">
        <v>4.1503790974616983E-2</v>
      </c>
      <c r="L11" s="2" t="s">
        <v>56</v>
      </c>
    </row>
    <row r="12" spans="1:12" x14ac:dyDescent="0.35">
      <c r="A12" s="2" t="s">
        <v>65</v>
      </c>
      <c r="B12" s="3">
        <v>9</v>
      </c>
      <c r="C12" s="3">
        <v>10</v>
      </c>
      <c r="D12" s="3">
        <v>0.75715744495391846</v>
      </c>
      <c r="E12" s="3">
        <v>0.73578143119812012</v>
      </c>
      <c r="F12" s="3">
        <v>0.64790996611118312</v>
      </c>
      <c r="G12" s="3">
        <v>0.69715023040771484</v>
      </c>
      <c r="H12" s="3">
        <v>0.68647099554538726</v>
      </c>
      <c r="I12" s="2" t="s">
        <v>53</v>
      </c>
      <c r="J12" s="3">
        <v>0.64749999999999996</v>
      </c>
      <c r="K12" s="3">
        <v>3.8970995545387299E-2</v>
      </c>
      <c r="L12" s="2" t="s">
        <v>56</v>
      </c>
    </row>
    <row r="13" spans="1:12" x14ac:dyDescent="0.35">
      <c r="A13" s="2" t="s">
        <v>66</v>
      </c>
      <c r="B13" s="3">
        <v>11</v>
      </c>
      <c r="C13" s="3">
        <v>12</v>
      </c>
      <c r="D13" s="3">
        <v>0.88264942169189453</v>
      </c>
      <c r="E13" s="3">
        <v>0.71406412124633789</v>
      </c>
      <c r="F13" s="3">
        <v>0.71884390413761134</v>
      </c>
      <c r="G13" s="3">
        <v>0.83586430549621582</v>
      </c>
      <c r="H13" s="3">
        <v>0.76516832530498502</v>
      </c>
      <c r="I13" s="2" t="s">
        <v>56</v>
      </c>
      <c r="J13" s="3">
        <v>0.77749999999999997</v>
      </c>
      <c r="K13" s="3">
        <v>1.2331674695014949E-2</v>
      </c>
      <c r="L13" s="2" t="s">
        <v>56</v>
      </c>
    </row>
    <row r="14" spans="1:12" x14ac:dyDescent="0.35">
      <c r="A14" s="2" t="s">
        <v>67</v>
      </c>
      <c r="B14" s="3">
        <v>7</v>
      </c>
      <c r="C14" s="3">
        <v>8</v>
      </c>
      <c r="D14" s="3">
        <v>0.82644057273864746</v>
      </c>
      <c r="E14" s="3">
        <v>0.79643505811691284</v>
      </c>
      <c r="F14" s="3">
        <v>0.67437954246997833</v>
      </c>
      <c r="G14" s="3">
        <v>0.5791473388671875</v>
      </c>
      <c r="H14" s="3">
        <v>0.71983874142169957</v>
      </c>
      <c r="I14" s="2" t="s">
        <v>56</v>
      </c>
      <c r="J14" s="3">
        <v>0.73749999999999993</v>
      </c>
      <c r="K14" s="3">
        <v>1.7661258578300369E-2</v>
      </c>
      <c r="L14" s="2" t="s">
        <v>56</v>
      </c>
    </row>
    <row r="15" spans="1:12" x14ac:dyDescent="0.35">
      <c r="A15" s="2" t="s">
        <v>68</v>
      </c>
      <c r="B15" s="3">
        <v>17</v>
      </c>
      <c r="C15" s="3">
        <v>18</v>
      </c>
      <c r="D15" s="3">
        <v>0.85011982917785645</v>
      </c>
      <c r="E15" s="3">
        <v>0.72332215309143066</v>
      </c>
      <c r="F15" s="3">
        <v>0.68765206038951865</v>
      </c>
      <c r="G15" s="3">
        <v>0.78617161512374878</v>
      </c>
      <c r="H15" s="3">
        <v>0.73676198959350581</v>
      </c>
      <c r="I15" s="2" t="s">
        <v>56</v>
      </c>
      <c r="J15" s="3">
        <v>0.70999999999999985</v>
      </c>
      <c r="K15" s="3">
        <v>2.6761989593505949E-2</v>
      </c>
      <c r="L15" s="2" t="s">
        <v>56</v>
      </c>
    </row>
    <row r="16" spans="1:12" x14ac:dyDescent="0.35">
      <c r="A16" s="2" t="s">
        <v>69</v>
      </c>
      <c r="B16" s="3">
        <v>15</v>
      </c>
      <c r="C16" s="3">
        <v>16</v>
      </c>
      <c r="D16" s="3">
        <v>0.86907339096069336</v>
      </c>
      <c r="E16" s="3">
        <v>0.72780632972717285</v>
      </c>
      <c r="F16" s="3">
        <v>0.68899188439051307</v>
      </c>
      <c r="G16" s="3">
        <v>0.77105879783630371</v>
      </c>
      <c r="H16" s="3">
        <v>0.74199705123901372</v>
      </c>
      <c r="I16" s="2" t="s">
        <v>56</v>
      </c>
      <c r="J16" s="3">
        <v>0.74299999999999999</v>
      </c>
      <c r="K16" s="3">
        <v>1.0029487609862771E-3</v>
      </c>
      <c r="L16" s="2" t="s">
        <v>56</v>
      </c>
    </row>
    <row r="18" spans="1:1" x14ac:dyDescent="0.35">
      <c r="A18" t="s">
        <v>120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 Ejecutivo</vt:lpstr>
      <vt:lpstr>Métricas Similitud</vt:lpstr>
      <vt:lpstr>Distribución Similitud</vt:lpstr>
      <vt:lpstr>Comparación Modelo vs Golden</vt:lpstr>
      <vt:lpstr>Matriz de Confusión</vt:lpstr>
      <vt:lpstr>Reporte Clasificación</vt:lpstr>
      <vt:lpstr>Análisis de Errores</vt:lpstr>
      <vt:lpstr>Resumen Errores</vt:lpstr>
      <vt:lpstr>Componentes con Error</vt:lpstr>
      <vt:lpstr>Detalle por Archivo</vt:lpstr>
      <vt:lpstr>Comparaciones Individuales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DANIEL GARCIA BETANCOURT</cp:lastModifiedBy>
  <dcterms:created xsi:type="dcterms:W3CDTF">2025-05-22T04:19:33Z</dcterms:created>
  <dcterms:modified xsi:type="dcterms:W3CDTF">2025-05-22T04:21:10Z</dcterms:modified>
</cp:coreProperties>
</file>